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chan\Downloads\"/>
    </mc:Choice>
  </mc:AlternateContent>
  <xr:revisionPtr revIDLastSave="0" documentId="13_ncr:1_{BF678EC2-AFC4-47FE-BB72-65A78B5B0BC6}" xr6:coauthVersionLast="47" xr6:coauthVersionMax="47" xr10:uidLastSave="{00000000-0000-0000-0000-000000000000}"/>
  <bookViews>
    <workbookView xWindow="-108" yWindow="-108" windowWidth="23256" windowHeight="12456" tabRatio="771" activeTab="2" xr2:uid="{00000000-000D-0000-FFFF-FFFF00000000}"/>
  </bookViews>
  <sheets>
    <sheet name="Main data" sheetId="1" r:id="rId1"/>
    <sheet name="KPI" sheetId="2" r:id="rId2"/>
    <sheet name="Dashboard" sheetId="3" r:id="rId3"/>
  </sheets>
  <definedNames>
    <definedName name="_xlchart.v1.0" hidden="1">KPI!$J$17:$J$25</definedName>
    <definedName name="_xlchart.v1.1" hidden="1">KPI!$K$16</definedName>
    <definedName name="_xlchart.v1.2" hidden="1">KPI!$K$17:$K$25</definedName>
    <definedName name="_xlchart.v1.3" hidden="1">KPI!$J$17:$J$25</definedName>
    <definedName name="_xlchart.v1.4" hidden="1">KPI!$K$16</definedName>
    <definedName name="_xlchart.v1.5" hidden="1">KPI!$K$17:$K$25</definedName>
    <definedName name="_xlchart.v1.6" hidden="1">KPI!$J$17:$J$25</definedName>
    <definedName name="_xlchart.v1.7" hidden="1">KPI!$K$16</definedName>
    <definedName name="_xlchart.v1.8" hidden="1">KPI!$K$17:$K$25</definedName>
    <definedName name="Slicer_Category">#N/A</definedName>
    <definedName name="Slicer_Region">#N/A</definedName>
  </definedNames>
  <calcPr calcId="191029"/>
  <pivotCaches>
    <pivotCache cacheId="1612" r:id="rId4"/>
    <pivotCache cacheId="1614" r:id="rId5"/>
    <pivotCache cacheId="1616" r:id="rId6"/>
    <pivotCache cacheId="1618" r:id="rId7"/>
    <pivotCache cacheId="1620" r:id="rId8"/>
    <pivotCache cacheId="1622" r:id="rId9"/>
    <pivotCache cacheId="1624"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Data_e2959d85-6b53-4acb-90a5-ea962fcf17a4" name="SalesData" connection="Query - SalesData"/>
        </x15:modelTables>
        <x15:extLst>
          <ext xmlns:x16="http://schemas.microsoft.com/office/spreadsheetml/2014/11/main" uri="{9835A34E-60A6-4A7C-AAB8-D5F71C897F49}">
            <x16:modelTimeGroupings>
              <x16:modelTimeGrouping tableName="SalesData"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 i="2" l="1"/>
  <c r="L7" i="2"/>
  <c r="K3" i="2"/>
  <c r="J20" i="2"/>
  <c r="J26" i="2"/>
  <c r="K18" i="2"/>
  <c r="K19" i="2"/>
  <c r="K20" i="2"/>
  <c r="K21" i="2"/>
  <c r="K22" i="2"/>
  <c r="K23" i="2"/>
  <c r="K24" i="2"/>
  <c r="K17" i="2"/>
  <c r="K25" i="2"/>
  <c r="J18" i="2"/>
  <c r="J19" i="2"/>
  <c r="J21" i="2"/>
  <c r="J22" i="2"/>
  <c r="J23" i="2"/>
  <c r="J24" i="2"/>
  <c r="J25" i="2"/>
  <c r="J1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8A5961-9DAA-41E5-B340-95D2AFCBFC3D}" name="Query - SalesData" description="Connection to the 'SalesData' query in the workbook." type="100" refreshedVersion="8" minRefreshableVersion="5">
    <extLst>
      <ext xmlns:x15="http://schemas.microsoft.com/office/spreadsheetml/2010/11/main" uri="{DE250136-89BD-433C-8126-D09CA5730AF9}">
        <x15:connection id="d44e50b1-a68f-4d65-a56b-a548b96b7ec8"/>
      </ext>
    </extLst>
  </connection>
  <connection id="2" xr16:uid="{8D3823A8-2EC2-4A5F-AF58-B4AEC998B3E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<sst xmlns="http://schemas.openxmlformats.org/spreadsheetml/2006/main" count="5054" uniqueCount="1246">
  <si>
    <t>Order_ID</t>
  </si>
  <si>
    <t>Order_Date</t>
  </si>
  <si>
    <t>Region</t>
  </si>
  <si>
    <t>Category</t>
  </si>
  <si>
    <t>Sub_Category</t>
  </si>
  <si>
    <t>Customer</t>
  </si>
  <si>
    <t>Sales</t>
  </si>
  <si>
    <t>Quantity</t>
  </si>
  <si>
    <t>Profit</t>
  </si>
  <si>
    <t>ORD10002</t>
  </si>
  <si>
    <t>East</t>
  </si>
  <si>
    <t>Furniture</t>
  </si>
  <si>
    <t>Chairs</t>
  </si>
  <si>
    <t>Customer_37</t>
  </si>
  <si>
    <t>ORD10003</t>
  </si>
  <si>
    <t>Customer_108</t>
  </si>
  <si>
    <t>ORD10004</t>
  </si>
  <si>
    <t>South</t>
  </si>
  <si>
    <t>Bookcases</t>
  </si>
  <si>
    <t>Customer_97</t>
  </si>
  <si>
    <t>ORD10005</t>
  </si>
  <si>
    <t>Technology</t>
  </si>
  <si>
    <t>Laptops</t>
  </si>
  <si>
    <t>Customer_93</t>
  </si>
  <si>
    <t>ORD10006</t>
  </si>
  <si>
    <t>West</t>
  </si>
  <si>
    <t>Customer_147</t>
  </si>
  <si>
    <t>ORD10007</t>
  </si>
  <si>
    <t>North</t>
  </si>
  <si>
    <t>Accessories</t>
  </si>
  <si>
    <t>Customer_15</t>
  </si>
  <si>
    <t>ORD10008</t>
  </si>
  <si>
    <t>Office Supplies</t>
  </si>
  <si>
    <t>Paper</t>
  </si>
  <si>
    <t>Customer_192</t>
  </si>
  <si>
    <t>ORD10009</t>
  </si>
  <si>
    <t>Phones</t>
  </si>
  <si>
    <t>Customer_129</t>
  </si>
  <si>
    <t>ORD10010</t>
  </si>
  <si>
    <t>Storage</t>
  </si>
  <si>
    <t>Customer_151</t>
  </si>
  <si>
    <t>ORD10011</t>
  </si>
  <si>
    <t>Customer_159</t>
  </si>
  <si>
    <t>ORD10012</t>
  </si>
  <si>
    <t>Customer_167</t>
  </si>
  <si>
    <t>ORD10013</t>
  </si>
  <si>
    <t>Customer_42</t>
  </si>
  <si>
    <t>ORD10014</t>
  </si>
  <si>
    <t>Tables</t>
  </si>
  <si>
    <t>Customer_134</t>
  </si>
  <si>
    <t>ORD10015</t>
  </si>
  <si>
    <t>Customer_123</t>
  </si>
  <si>
    <t>ORD10016</t>
  </si>
  <si>
    <t>Customer_29</t>
  </si>
  <si>
    <t>ORD10017</t>
  </si>
  <si>
    <t>Customer_12</t>
  </si>
  <si>
    <t>ORD10018</t>
  </si>
  <si>
    <t>Customer_133</t>
  </si>
  <si>
    <t>ORD10019</t>
  </si>
  <si>
    <t>Customer_27</t>
  </si>
  <si>
    <t>ORD10020</t>
  </si>
  <si>
    <t>Customer_132</t>
  </si>
  <si>
    <t>ORD10021</t>
  </si>
  <si>
    <t>Customer_102</t>
  </si>
  <si>
    <t>ORD10022</t>
  </si>
  <si>
    <t>Customer_81</t>
  </si>
  <si>
    <t>ORD10023</t>
  </si>
  <si>
    <t>ORD10024</t>
  </si>
  <si>
    <t>Customer_92</t>
  </si>
  <si>
    <t>ORD10025</t>
  </si>
  <si>
    <t>Customer_40</t>
  </si>
  <si>
    <t>ORD10026</t>
  </si>
  <si>
    <t>ORD10027</t>
  </si>
  <si>
    <t>Binders</t>
  </si>
  <si>
    <t>Customer_195</t>
  </si>
  <si>
    <t>ORD10028</t>
  </si>
  <si>
    <t>Customer_33</t>
  </si>
  <si>
    <t>ORD10029</t>
  </si>
  <si>
    <t>Customer_142</t>
  </si>
  <si>
    <t>ORD10030</t>
  </si>
  <si>
    <t>Customer_100</t>
  </si>
  <si>
    <t>ORD10031</t>
  </si>
  <si>
    <t>Customer_181</t>
  </si>
  <si>
    <t>ORD10032</t>
  </si>
  <si>
    <t>Customer_162</t>
  </si>
  <si>
    <t>ORD10033</t>
  </si>
  <si>
    <t>Customer_96</t>
  </si>
  <si>
    <t>ORD10034</t>
  </si>
  <si>
    <t>Customer_106</t>
  </si>
  <si>
    <t>ORD10035</t>
  </si>
  <si>
    <t>Customer_7</t>
  </si>
  <si>
    <t>ORD10036</t>
  </si>
  <si>
    <t>ORD10037</t>
  </si>
  <si>
    <t>Customer_118</t>
  </si>
  <si>
    <t>ORD10038</t>
  </si>
  <si>
    <t>Customer_71</t>
  </si>
  <si>
    <t>ORD10039</t>
  </si>
  <si>
    <t>Customer_18</t>
  </si>
  <si>
    <t>ORD10040</t>
  </si>
  <si>
    <t>Customer_191</t>
  </si>
  <si>
    <t>ORD10041</t>
  </si>
  <si>
    <t>Customer_67</t>
  </si>
  <si>
    <t>ORD10042</t>
  </si>
  <si>
    <t>Customer_57</t>
  </si>
  <si>
    <t>ORD10043</t>
  </si>
  <si>
    <t>Customer_24</t>
  </si>
  <si>
    <t>ORD10044</t>
  </si>
  <si>
    <t>Customer_19</t>
  </si>
  <si>
    <t>ORD10045</t>
  </si>
  <si>
    <t>ORD10046</t>
  </si>
  <si>
    <t>ORD10047</t>
  </si>
  <si>
    <t>Customer_185</t>
  </si>
  <si>
    <t>ORD10048</t>
  </si>
  <si>
    <t>Customer_184</t>
  </si>
  <si>
    <t>ORD10049</t>
  </si>
  <si>
    <t>ORD10050</t>
  </si>
  <si>
    <t>ORD10051</t>
  </si>
  <si>
    <t>Customer_173</t>
  </si>
  <si>
    <t>ORD10052</t>
  </si>
  <si>
    <t>Customer_189</t>
  </si>
  <si>
    <t>ORD10053</t>
  </si>
  <si>
    <t>Customer_121</t>
  </si>
  <si>
    <t>ORD10054</t>
  </si>
  <si>
    <t>Customer_101</t>
  </si>
  <si>
    <t>ORD10055</t>
  </si>
  <si>
    <t>Customer_21</t>
  </si>
  <si>
    <t>ORD10056</t>
  </si>
  <si>
    <t>Customer_9</t>
  </si>
  <si>
    <t>ORD10057</t>
  </si>
  <si>
    <t>Customer_135</t>
  </si>
  <si>
    <t>ORD10058</t>
  </si>
  <si>
    <t>Customer_148</t>
  </si>
  <si>
    <t>ORD10059</t>
  </si>
  <si>
    <t>Customer_5</t>
  </si>
  <si>
    <t>ORD10060</t>
  </si>
  <si>
    <t>Customer_47</t>
  </si>
  <si>
    <t>ORD10061</t>
  </si>
  <si>
    <t>Customer_116</t>
  </si>
  <si>
    <t>ORD10062</t>
  </si>
  <si>
    <t>ORD10063</t>
  </si>
  <si>
    <t>ORD10064</t>
  </si>
  <si>
    <t>Customer_76</t>
  </si>
  <si>
    <t>ORD10065</t>
  </si>
  <si>
    <t>ORD10066</t>
  </si>
  <si>
    <t>Customer_13</t>
  </si>
  <si>
    <t>ORD10067</t>
  </si>
  <si>
    <t>Customer_150</t>
  </si>
  <si>
    <t>ORD10068</t>
  </si>
  <si>
    <t>Customer_32</t>
  </si>
  <si>
    <t>ORD10069</t>
  </si>
  <si>
    <t>ORD10070</t>
  </si>
  <si>
    <t>ORD10071</t>
  </si>
  <si>
    <t>Customer_170</t>
  </si>
  <si>
    <t>ORD10072</t>
  </si>
  <si>
    <t>Customer_176</t>
  </si>
  <si>
    <t>ORD10073</t>
  </si>
  <si>
    <t>ORD10074</t>
  </si>
  <si>
    <t>Customer_36</t>
  </si>
  <si>
    <t>ORD10075</t>
  </si>
  <si>
    <t>ORD10076</t>
  </si>
  <si>
    <t>Customer_43</t>
  </si>
  <si>
    <t>ORD10077</t>
  </si>
  <si>
    <t>ORD10078</t>
  </si>
  <si>
    <t>ORD10079</t>
  </si>
  <si>
    <t>Customer_130</t>
  </si>
  <si>
    <t>ORD10080</t>
  </si>
  <si>
    <t>Customer_155</t>
  </si>
  <si>
    <t>ORD10081</t>
  </si>
  <si>
    <t>Customer_163</t>
  </si>
  <si>
    <t>ORD10082</t>
  </si>
  <si>
    <t>ORD10083</t>
  </si>
  <si>
    <t>Customer_146</t>
  </si>
  <si>
    <t>ORD10084</t>
  </si>
  <si>
    <t>Customer_105</t>
  </si>
  <si>
    <t>ORD10085</t>
  </si>
  <si>
    <t>ORD10086</t>
  </si>
  <si>
    <t>Customer_78</t>
  </si>
  <si>
    <t>ORD10087</t>
  </si>
  <si>
    <t>Customer_46</t>
  </si>
  <si>
    <t>ORD10088</t>
  </si>
  <si>
    <t>Customer_141</t>
  </si>
  <si>
    <t>ORD10089</t>
  </si>
  <si>
    <t>Customer_110</t>
  </si>
  <si>
    <t>ORD10090</t>
  </si>
  <si>
    <t>Customer_99</t>
  </si>
  <si>
    <t>ORD10091</t>
  </si>
  <si>
    <t>ORD10092</t>
  </si>
  <si>
    <t>Customer_62</t>
  </si>
  <si>
    <t>ORD10093</t>
  </si>
  <si>
    <t>ORD10094</t>
  </si>
  <si>
    <t>Customer_156</t>
  </si>
  <si>
    <t>ORD10095</t>
  </si>
  <si>
    <t>Customer_127</t>
  </si>
  <si>
    <t>ORD10096</t>
  </si>
  <si>
    <t>ORD10097</t>
  </si>
  <si>
    <t>Customer_11</t>
  </si>
  <si>
    <t>ORD10098</t>
  </si>
  <si>
    <t>ORD10099</t>
  </si>
  <si>
    <t>ORD10100</t>
  </si>
  <si>
    <t>ORD10101</t>
  </si>
  <si>
    <t>Customer_25</t>
  </si>
  <si>
    <t>ORD10102</t>
  </si>
  <si>
    <t>Customer_112</t>
  </si>
  <si>
    <t>ORD10103</t>
  </si>
  <si>
    <t>Customer_197</t>
  </si>
  <si>
    <t>ORD10104</t>
  </si>
  <si>
    <t>ORD10105</t>
  </si>
  <si>
    <t>Customer_63</t>
  </si>
  <si>
    <t>ORD10106</t>
  </si>
  <si>
    <t>Customer_87</t>
  </si>
  <si>
    <t>ORD10107</t>
  </si>
  <si>
    <t>Customer_166</t>
  </si>
  <si>
    <t>ORD10108</t>
  </si>
  <si>
    <t>Customer_77</t>
  </si>
  <si>
    <t>ORD10109</t>
  </si>
  <si>
    <t>Customer_79</t>
  </si>
  <si>
    <t>ORD10110</t>
  </si>
  <si>
    <t>Customer_199</t>
  </si>
  <si>
    <t>ORD10111</t>
  </si>
  <si>
    <t>Customer_48</t>
  </si>
  <si>
    <t>ORD10112</t>
  </si>
  <si>
    <t>ORD10113</t>
  </si>
  <si>
    <t>ORD10114</t>
  </si>
  <si>
    <t>Customer_114</t>
  </si>
  <si>
    <t>ORD10115</t>
  </si>
  <si>
    <t>ORD10116</t>
  </si>
  <si>
    <t>Customer_22</t>
  </si>
  <si>
    <t>ORD10117</t>
  </si>
  <si>
    <t>ORD10118</t>
  </si>
  <si>
    <t>Customer_66</t>
  </si>
  <si>
    <t>ORD10119</t>
  </si>
  <si>
    <t>ORD10120</t>
  </si>
  <si>
    <t>Customer_50</t>
  </si>
  <si>
    <t>ORD10121</t>
  </si>
  <si>
    <t>ORD10122</t>
  </si>
  <si>
    <t>ORD10123</t>
  </si>
  <si>
    <t>ORD10124</t>
  </si>
  <si>
    <t>Customer_23</t>
  </si>
  <si>
    <t>ORD10125</t>
  </si>
  <si>
    <t>Customer_70</t>
  </si>
  <si>
    <t>ORD10126</t>
  </si>
  <si>
    <t>ORD10127</t>
  </si>
  <si>
    <t>Customer_26</t>
  </si>
  <si>
    <t>ORD10128</t>
  </si>
  <si>
    <t>Customer_41</t>
  </si>
  <si>
    <t>ORD10129</t>
  </si>
  <si>
    <t>Customer_175</t>
  </si>
  <si>
    <t>ORD10130</t>
  </si>
  <si>
    <t>Customer_168</t>
  </si>
  <si>
    <t>ORD10131</t>
  </si>
  <si>
    <t>ORD10132</t>
  </si>
  <si>
    <t>ORD10133</t>
  </si>
  <si>
    <t>Customer_124</t>
  </si>
  <si>
    <t>ORD10134</t>
  </si>
  <si>
    <t>ORD10135</t>
  </si>
  <si>
    <t>ORD10136</t>
  </si>
  <si>
    <t>ORD10137</t>
  </si>
  <si>
    <t>Customer_154</t>
  </si>
  <si>
    <t>ORD10138</t>
  </si>
  <si>
    <t>ORD10139</t>
  </si>
  <si>
    <t>ORD10140</t>
  </si>
  <si>
    <t>Customer_120</t>
  </si>
  <si>
    <t>ORD10141</t>
  </si>
  <si>
    <t>Customer_158</t>
  </si>
  <si>
    <t>ORD10142</t>
  </si>
  <si>
    <t>Customer_34</t>
  </si>
  <si>
    <t>ORD10143</t>
  </si>
  <si>
    <t>Customer_69</t>
  </si>
  <si>
    <t>ORD10144</t>
  </si>
  <si>
    <t>ORD10145</t>
  </si>
  <si>
    <t>Customer_73</t>
  </si>
  <si>
    <t>ORD10146</t>
  </si>
  <si>
    <t>ORD10147</t>
  </si>
  <si>
    <t>ORD10148</t>
  </si>
  <si>
    <t>ORD10149</t>
  </si>
  <si>
    <t>Customer_179</t>
  </si>
  <si>
    <t>ORD10150</t>
  </si>
  <si>
    <t>ORD10151</t>
  </si>
  <si>
    <t>ORD10152</t>
  </si>
  <si>
    <t>Customer_30</t>
  </si>
  <si>
    <t>ORD10153</t>
  </si>
  <si>
    <t>ORD10154</t>
  </si>
  <si>
    <t>ORD10155</t>
  </si>
  <si>
    <t>Customer_177</t>
  </si>
  <si>
    <t>ORD10156</t>
  </si>
  <si>
    <t>ORD10157</t>
  </si>
  <si>
    <t>ORD10158</t>
  </si>
  <si>
    <t>ORD10159</t>
  </si>
  <si>
    <t>Customer_83</t>
  </si>
  <si>
    <t>ORD10160</t>
  </si>
  <si>
    <t>ORD10161</t>
  </si>
  <si>
    <t>ORD10162</t>
  </si>
  <si>
    <t>ORD10163</t>
  </si>
  <si>
    <t>ORD10164</t>
  </si>
  <si>
    <t>Customer_53</t>
  </si>
  <si>
    <t>ORD10165</t>
  </si>
  <si>
    <t>Customer_152</t>
  </si>
  <si>
    <t>ORD10166</t>
  </si>
  <si>
    <t>Customer_186</t>
  </si>
  <si>
    <t>ORD10167</t>
  </si>
  <si>
    <t>ORD10168</t>
  </si>
  <si>
    <t>ORD10169</t>
  </si>
  <si>
    <t>ORD10170</t>
  </si>
  <si>
    <t>ORD10171</t>
  </si>
  <si>
    <t>ORD10172</t>
  </si>
  <si>
    <t>Customer_125</t>
  </si>
  <si>
    <t>ORD10173</t>
  </si>
  <si>
    <t>ORD10174</t>
  </si>
  <si>
    <t>ORD10175</t>
  </si>
  <si>
    <t>Customer_119</t>
  </si>
  <si>
    <t>ORD10176</t>
  </si>
  <si>
    <t>Customer_187</t>
  </si>
  <si>
    <t>ORD10177</t>
  </si>
  <si>
    <t>Customer_85</t>
  </si>
  <si>
    <t>ORD10178</t>
  </si>
  <si>
    <t>ORD10179</t>
  </si>
  <si>
    <t>ORD10180</t>
  </si>
  <si>
    <t>ORD10181</t>
  </si>
  <si>
    <t>Customer_153</t>
  </si>
  <si>
    <t>ORD10182</t>
  </si>
  <si>
    <t>Customer_178</t>
  </si>
  <si>
    <t>ORD10183</t>
  </si>
  <si>
    <t>ORD10184</t>
  </si>
  <si>
    <t>Customer_45</t>
  </si>
  <si>
    <t>ORD10185</t>
  </si>
  <si>
    <t>ORD10186</t>
  </si>
  <si>
    <t>ORD10187</t>
  </si>
  <si>
    <t>Customer_51</t>
  </si>
  <si>
    <t>ORD10188</t>
  </si>
  <si>
    <t>Customer_137</t>
  </si>
  <si>
    <t>ORD10189</t>
  </si>
  <si>
    <t>ORD10190</t>
  </si>
  <si>
    <t>ORD10191</t>
  </si>
  <si>
    <t>ORD10192</t>
  </si>
  <si>
    <t>ORD10193</t>
  </si>
  <si>
    <t>ORD10194</t>
  </si>
  <si>
    <t>ORD10195</t>
  </si>
  <si>
    <t>Customer_160</t>
  </si>
  <si>
    <t>ORD10196</t>
  </si>
  <si>
    <t>ORD10197</t>
  </si>
  <si>
    <t>Customer_169</t>
  </si>
  <si>
    <t>ORD10198</t>
  </si>
  <si>
    <t>ORD10199</t>
  </si>
  <si>
    <t>Customer_31</t>
  </si>
  <si>
    <t>ORD10200</t>
  </si>
  <si>
    <t>ORD10201</t>
  </si>
  <si>
    <t>ORD10202</t>
  </si>
  <si>
    <t>ORD10203</t>
  </si>
  <si>
    <t>ORD10204</t>
  </si>
  <si>
    <t>Customer_138</t>
  </si>
  <si>
    <t>ORD10205</t>
  </si>
  <si>
    <t>ORD10206</t>
  </si>
  <si>
    <t>ORD10207</t>
  </si>
  <si>
    <t>Customer_44</t>
  </si>
  <si>
    <t>ORD10208</t>
  </si>
  <si>
    <t>Customer_84</t>
  </si>
  <si>
    <t>ORD10209</t>
  </si>
  <si>
    <t>Customer_144</t>
  </si>
  <si>
    <t>ORD10210</t>
  </si>
  <si>
    <t>ORD10211</t>
  </si>
  <si>
    <t>Customer_200</t>
  </si>
  <si>
    <t>ORD10212</t>
  </si>
  <si>
    <t>Customer_14</t>
  </si>
  <si>
    <t>ORD10213</t>
  </si>
  <si>
    <t>ORD10214</t>
  </si>
  <si>
    <t>ORD10215</t>
  </si>
  <si>
    <t>ORD10216</t>
  </si>
  <si>
    <t>ORD10217</t>
  </si>
  <si>
    <t>Customer_157</t>
  </si>
  <si>
    <t>ORD10218</t>
  </si>
  <si>
    <t>Customer_172</t>
  </si>
  <si>
    <t>ORD10219</t>
  </si>
  <si>
    <t>Customer_82</t>
  </si>
  <si>
    <t>ORD10220</t>
  </si>
  <si>
    <t>ORD10221</t>
  </si>
  <si>
    <t>Customer_28</t>
  </si>
  <si>
    <t>ORD10222</t>
  </si>
  <si>
    <t>ORD10223</t>
  </si>
  <si>
    <t>ORD10224</t>
  </si>
  <si>
    <t>ORD10225</t>
  </si>
  <si>
    <t>ORD10226</t>
  </si>
  <si>
    <t>ORD10227</t>
  </si>
  <si>
    <t>ORD10228</t>
  </si>
  <si>
    <t>Customer_103</t>
  </si>
  <si>
    <t>ORD10229</t>
  </si>
  <si>
    <t>ORD10230</t>
  </si>
  <si>
    <t>ORD10231</t>
  </si>
  <si>
    <t>ORD10232</t>
  </si>
  <si>
    <t>ORD10233</t>
  </si>
  <si>
    <t>ORD10234</t>
  </si>
  <si>
    <t>ORD10235</t>
  </si>
  <si>
    <t>ORD10236</t>
  </si>
  <si>
    <t>ORD10237</t>
  </si>
  <si>
    <t>Customer_182</t>
  </si>
  <si>
    <t>ORD10238</t>
  </si>
  <si>
    <t>ORD10239</t>
  </si>
  <si>
    <t>ORD10240</t>
  </si>
  <si>
    <t>ORD10241</t>
  </si>
  <si>
    <t>Customer_89</t>
  </si>
  <si>
    <t>ORD10242</t>
  </si>
  <si>
    <t>ORD10243</t>
  </si>
  <si>
    <t>Customer_3</t>
  </si>
  <si>
    <t>ORD10244</t>
  </si>
  <si>
    <t>ORD10245</t>
  </si>
  <si>
    <t>Customer_2</t>
  </si>
  <si>
    <t>ORD10246</t>
  </si>
  <si>
    <t>Customer_1</t>
  </si>
  <si>
    <t>ORD10247</t>
  </si>
  <si>
    <t>ORD10248</t>
  </si>
  <si>
    <t>ORD10249</t>
  </si>
  <si>
    <t>ORD10250</t>
  </si>
  <si>
    <t>ORD10251</t>
  </si>
  <si>
    <t>Customer_68</t>
  </si>
  <si>
    <t>ORD10252</t>
  </si>
  <si>
    <t>ORD10253</t>
  </si>
  <si>
    <t>ORD10254</t>
  </si>
  <si>
    <t>ORD10255</t>
  </si>
  <si>
    <t>ORD10256</t>
  </si>
  <si>
    <t>ORD10257</t>
  </si>
  <si>
    <t>ORD10258</t>
  </si>
  <si>
    <t>Customer_86</t>
  </si>
  <si>
    <t>ORD10259</t>
  </si>
  <si>
    <t>ORD10260</t>
  </si>
  <si>
    <t>ORD10261</t>
  </si>
  <si>
    <t>Customer_56</t>
  </si>
  <si>
    <t>ORD10262</t>
  </si>
  <si>
    <t>ORD10263</t>
  </si>
  <si>
    <t>ORD10264</t>
  </si>
  <si>
    <t>ORD10265</t>
  </si>
  <si>
    <t>ORD10266</t>
  </si>
  <si>
    <t>Customer_61</t>
  </si>
  <si>
    <t>ORD10267</t>
  </si>
  <si>
    <t>Customer_145</t>
  </si>
  <si>
    <t>ORD10268</t>
  </si>
  <si>
    <t>ORD10269</t>
  </si>
  <si>
    <t>ORD10270</t>
  </si>
  <si>
    <t>Customer_64</t>
  </si>
  <si>
    <t>ORD10271</t>
  </si>
  <si>
    <t>Customer_165</t>
  </si>
  <si>
    <t>ORD10272</t>
  </si>
  <si>
    <t>Customer_60</t>
  </si>
  <si>
    <t>ORD10273</t>
  </si>
  <si>
    <t>ORD10274</t>
  </si>
  <si>
    <t>Customer_20</t>
  </si>
  <si>
    <t>ORD10275</t>
  </si>
  <si>
    <t>ORD10276</t>
  </si>
  <si>
    <t>ORD10277</t>
  </si>
  <si>
    <t>ORD10278</t>
  </si>
  <si>
    <t>ORD10279</t>
  </si>
  <si>
    <t>ORD10280</t>
  </si>
  <si>
    <t>Customer_193</t>
  </si>
  <si>
    <t>ORD10281</t>
  </si>
  <si>
    <t>ORD10282</t>
  </si>
  <si>
    <t>ORD10283</t>
  </si>
  <si>
    <t>ORD10284</t>
  </si>
  <si>
    <t>ORD10285</t>
  </si>
  <si>
    <t>ORD10286</t>
  </si>
  <si>
    <t>ORD10287</t>
  </si>
  <si>
    <t>ORD10288</t>
  </si>
  <si>
    <t>Customer_49</t>
  </si>
  <si>
    <t>ORD10289</t>
  </si>
  <si>
    <t>Customer_35</t>
  </si>
  <si>
    <t>ORD10290</t>
  </si>
  <si>
    <t>ORD10291</t>
  </si>
  <si>
    <t>ORD10292</t>
  </si>
  <si>
    <t>ORD10293</t>
  </si>
  <si>
    <t>ORD10294</t>
  </si>
  <si>
    <t>ORD10295</t>
  </si>
  <si>
    <t>ORD10296</t>
  </si>
  <si>
    <t>ORD10297</t>
  </si>
  <si>
    <t>ORD10298</t>
  </si>
  <si>
    <t>ORD10299</t>
  </si>
  <si>
    <t>ORD10300</t>
  </si>
  <si>
    <t>Customer_104</t>
  </si>
  <si>
    <t>ORD10301</t>
  </si>
  <si>
    <t>Customer_131</t>
  </si>
  <si>
    <t>ORD10302</t>
  </si>
  <si>
    <t>Customer_10</t>
  </si>
  <si>
    <t>ORD10303</t>
  </si>
  <si>
    <t>ORD10304</t>
  </si>
  <si>
    <t>Customer_109</t>
  </si>
  <si>
    <t>ORD10305</t>
  </si>
  <si>
    <t>ORD10306</t>
  </si>
  <si>
    <t>ORD10307</t>
  </si>
  <si>
    <t>ORD10308</t>
  </si>
  <si>
    <t>ORD10309</t>
  </si>
  <si>
    <t>ORD10310</t>
  </si>
  <si>
    <t>ORD10311</t>
  </si>
  <si>
    <t>Customer_115</t>
  </si>
  <si>
    <t>ORD10312</t>
  </si>
  <si>
    <t>ORD10313</t>
  </si>
  <si>
    <t>ORD10314</t>
  </si>
  <si>
    <t>Customer_16</t>
  </si>
  <si>
    <t>ORD10315</t>
  </si>
  <si>
    <t>Customer_111</t>
  </si>
  <si>
    <t>ORD10316</t>
  </si>
  <si>
    <t>ORD10317</t>
  </si>
  <si>
    <t>Customer_17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</si>
  <si>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</si>
  <si>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</si>
  <si>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</si>
  <si>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</si>
  <si>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</si>
  <si>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</si>
  <si>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</si>
  <si>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</si>
  <si>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</si>
  <si>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</si>
  <si>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</si>
  <si>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</si>
  <si>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</si>
  <si>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</si>
  <si>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</si>
  <si>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</si>
  <si>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</si>
  <si>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</si>
  <si>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</si>
  <si>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</si>
  <si>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</si>
  <si>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</si>
  <si>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Customer_6</t>
  </si>
  <si>
    <t>ORD10340</t>
  </si>
  <si>
    <t>ORD10341</t>
  </si>
  <si>
    <t>Customer_161</t>
  </si>
  <si>
    <t>ORD10342</t>
  </si>
  <si>
    <t>ORD10343</t>
  </si>
  <si>
    <t>Customer_149</t>
  </si>
  <si>
    <t>ORD10344</t>
  </si>
  <si>
    <t>ORD10345</t>
  </si>
  <si>
    <t>ORD10346</t>
  </si>
  <si>
    <t>ORD10347</t>
  </si>
  <si>
    <t>ORD10348</t>
  </si>
  <si>
    <t>ORD10349</t>
  </si>
  <si>
    <t>Customer_54</t>
  </si>
  <si>
    <t>ORD10350</t>
  </si>
  <si>
    <t>Customer_171</t>
  </si>
  <si>
    <t>ORD10351</t>
  </si>
  <si>
    <t>ORD10352</t>
  </si>
  <si>
    <t>ORD10353</t>
  </si>
  <si>
    <t>ORD10354</t>
  </si>
  <si>
    <t>ORD10355</t>
  </si>
  <si>
    <t>Customer_194</t>
  </si>
  <si>
    <t>ORD10356</t>
  </si>
  <si>
    <t>ORD10357</t>
  </si>
  <si>
    <t>ORD10358</t>
  </si>
  <si>
    <t>Customer_91</t>
  </si>
  <si>
    <t>ORD10359</t>
  </si>
  <si>
    <t>Customer_196</t>
  </si>
  <si>
    <t>ORD10360</t>
  </si>
  <si>
    <t>ORD10361</t>
  </si>
  <si>
    <t>ORD10362</t>
  </si>
  <si>
    <t>ORD10363</t>
  </si>
  <si>
    <t>Customer_190</t>
  </si>
  <si>
    <t>ORD10364</t>
  </si>
  <si>
    <t>ORD10365</t>
  </si>
  <si>
    <t>ORD10366</t>
  </si>
  <si>
    <t>Customer_59</t>
  </si>
  <si>
    <t>ORD10367</t>
  </si>
  <si>
    <t>ORD10368</t>
  </si>
  <si>
    <t>ORD10369</t>
  </si>
  <si>
    <t>ORD10370</t>
  </si>
  <si>
    <t>ORD10371</t>
  </si>
  <si>
    <t>Customer_128</t>
  </si>
  <si>
    <t>ORD10372</t>
  </si>
  <si>
    <t>ORD10373</t>
  </si>
  <si>
    <t>ORD10374</t>
  </si>
  <si>
    <t>ORD10375</t>
  </si>
  <si>
    <t>Customer_98</t>
  </si>
  <si>
    <t>ORD10376</t>
  </si>
  <si>
    <t>Customer_122</t>
  </si>
  <si>
    <t>ORD10377</t>
  </si>
  <si>
    <t>ORD10378</t>
  </si>
  <si>
    <t>ORD10379</t>
  </si>
  <si>
    <t>ORD10380</t>
  </si>
  <si>
    <t>ORD10381</t>
  </si>
  <si>
    <t>ORD10382</t>
  </si>
  <si>
    <t>Customer_183</t>
  </si>
  <si>
    <t>ORD10383</t>
  </si>
  <si>
    <t>Customer_95</t>
  </si>
  <si>
    <t>ORD10384</t>
  </si>
  <si>
    <t>ORD10385</t>
  </si>
  <si>
    <t>ORD10386</t>
  </si>
  <si>
    <t>ORD10387</t>
  </si>
  <si>
    <t>ORD10388</t>
  </si>
  <si>
    <t>ORD10389</t>
  </si>
  <si>
    <t>ORD10390</t>
  </si>
  <si>
    <t>ORD10391</t>
  </si>
  <si>
    <t>Customer_94</t>
  </si>
  <si>
    <t>ORD10392</t>
  </si>
  <si>
    <t>ORD10393</t>
  </si>
  <si>
    <t>ORD10394</t>
  </si>
  <si>
    <t>ORD10395</t>
  </si>
  <si>
    <t>ORD10396</t>
  </si>
  <si>
    <t>ORD10397</t>
  </si>
  <si>
    <t>ORD10398</t>
  </si>
  <si>
    <t>ORD10399</t>
  </si>
  <si>
    <t>ORD10400</t>
  </si>
  <si>
    <t>ORD10401</t>
  </si>
  <si>
    <t>ORD10402</t>
  </si>
  <si>
    <t>ORD10403</t>
  </si>
  <si>
    <t>ORD10404</t>
  </si>
  <si>
    <t>ORD10405</t>
  </si>
  <si>
    <t>Customer_198</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</si>
  <si>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</si>
  <si>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</si>
  <si>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</si>
  <si>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</si>
  <si>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</si>
  <si>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</si>
  <si>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</si>
  <si>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</si>
  <si>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</si>
  <si>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</si>
  <si>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</si>
  <si>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</si>
  <si>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</si>
  <si>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</si>
  <si>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</si>
  <si>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</si>
  <si>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</si>
  <si>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</si>
  <si>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</si>
  <si>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</si>
  <si>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</si>
  <si>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</si>
  <si>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</si>
  <si>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Customer_55</t>
  </si>
  <si>
    <t>ORD10429</t>
  </si>
  <si>
    <t>ORD10430</t>
  </si>
  <si>
    <t>ORD10431</t>
  </si>
  <si>
    <t>ORD10432</t>
  </si>
  <si>
    <t>ORD10433</t>
  </si>
  <si>
    <t>ORD10434</t>
  </si>
  <si>
    <t>ORD10435</t>
  </si>
  <si>
    <t>ORD10436</t>
  </si>
  <si>
    <t>ORD10437</t>
  </si>
  <si>
    <t>ORD10438</t>
  </si>
  <si>
    <t>ORD10439</t>
  </si>
  <si>
    <t>ORD10440</t>
  </si>
  <si>
    <t>ORD10441</t>
  </si>
  <si>
    <t>ORD10442</t>
  </si>
  <si>
    <t>Customer_90</t>
  </si>
  <si>
    <t>ORD10443</t>
  </si>
  <si>
    <t>Customer_88</t>
  </si>
  <si>
    <t>ORD10444</t>
  </si>
  <si>
    <t>ORD10445</t>
  </si>
  <si>
    <t>ORD10446</t>
  </si>
  <si>
    <t>Customer_58</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</si>
  <si>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</si>
  <si>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</si>
  <si>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</si>
  <si>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</si>
  <si>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</si>
  <si>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</si>
  <si>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</si>
  <si>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</si>
  <si>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</si>
  <si>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</si>
  <si>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</si>
  <si>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</si>
  <si>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</si>
  <si>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</si>
  <si>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</si>
  <si>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</si>
  <si>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</si>
  <si>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</si>
  <si>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</si>
  <si>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</si>
  <si>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</si>
  <si>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</si>
  <si>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</si>
  <si>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</si>
  <si>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Customer_4</t>
  </si>
  <si>
    <t>ORD10471</t>
  </si>
  <si>
    <t>ORD10472</t>
  </si>
  <si>
    <t>ORD10473</t>
  </si>
  <si>
    <t>ORD10474</t>
  </si>
  <si>
    <t>ORD10475</t>
  </si>
  <si>
    <t>ORD10476</t>
  </si>
  <si>
    <t>ORD10477</t>
  </si>
  <si>
    <t>ORD10478</t>
  </si>
  <si>
    <t>Customer_39</t>
  </si>
  <si>
    <t>ORD10479</t>
  </si>
  <si>
    <t>ORD10480</t>
  </si>
  <si>
    <t>ORD10481</t>
  </si>
  <si>
    <t>ORD10482</t>
  </si>
  <si>
    <t>ORD10483</t>
  </si>
  <si>
    <t>ORD10484</t>
  </si>
  <si>
    <t>Customer_75</t>
  </si>
  <si>
    <t>ORD10485</t>
  </si>
  <si>
    <t>ORD10486</t>
  </si>
  <si>
    <t>ORD10487</t>
  </si>
  <si>
    <t>ORD10488</t>
  </si>
  <si>
    <t>ORD10489</t>
  </si>
  <si>
    <t>Customer_65</t>
  </si>
  <si>
    <t>ORD10490</t>
  </si>
  <si>
    <t>ORD10491</t>
  </si>
  <si>
    <t>ORD10492</t>
  </si>
  <si>
    <t>ORD10493</t>
  </si>
  <si>
    <t>ORD10494</t>
  </si>
  <si>
    <t>Customer_188</t>
  </si>
  <si>
    <t>ORD10495</t>
  </si>
  <si>
    <t>ORD10496</t>
  </si>
  <si>
    <t>ORD10497</t>
  </si>
  <si>
    <t>ORD10498</t>
  </si>
  <si>
    <t>ORD10499</t>
  </si>
  <si>
    <t>ORD10500</t>
  </si>
  <si>
    <t>ORD10501</t>
  </si>
  <si>
    <t>ORD10502</t>
  </si>
  <si>
    <t>ORD10503</t>
  </si>
  <si>
    <t>ORD10504</t>
  </si>
  <si>
    <t>Customer_164</t>
  </si>
  <si>
    <t>ORD10505</t>
  </si>
  <si>
    <t>ORD10506</t>
  </si>
  <si>
    <t>ORD10507</t>
  </si>
  <si>
    <t>ORD10508</t>
  </si>
  <si>
    <t>ORD10509</t>
  </si>
  <si>
    <t>ORD10510</t>
  </si>
  <si>
    <t>ORD10511</t>
  </si>
  <si>
    <t>ORD10512</t>
  </si>
  <si>
    <t>ORD10513</t>
  </si>
  <si>
    <t>Customer_52</t>
  </si>
  <si>
    <t>ORD10514</t>
  </si>
  <si>
    <t>ORD10515</t>
  </si>
  <si>
    <t>ORD10516</t>
  </si>
  <si>
    <t>ORD10517</t>
  </si>
  <si>
    <t>ORD10518</t>
  </si>
  <si>
    <t>ORD10519</t>
  </si>
  <si>
    <t>ORD10520</t>
  </si>
  <si>
    <t>ORD10521</t>
  </si>
  <si>
    <t>ORD10522</t>
  </si>
  <si>
    <t>ORD10523</t>
  </si>
  <si>
    <t>Customer_140</t>
  </si>
  <si>
    <t>ORD10524</t>
  </si>
  <si>
    <t>ORD10525</t>
  </si>
  <si>
    <t>Customer_174</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</si>
  <si>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</si>
  <si>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</si>
  <si>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</si>
  <si>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</si>
  <si>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</si>
  <si>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</si>
  <si>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</si>
  <si>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</si>
  <si>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</si>
  <si>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</si>
  <si>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</si>
  <si>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</si>
  <si>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</si>
  <si>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</si>
  <si>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</si>
  <si>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</si>
  <si>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</si>
  <si>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</si>
  <si>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</si>
  <si>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</si>
  <si>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</si>
  <si>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</si>
  <si>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</si>
  <si>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</si>
  <si>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</si>
  <si>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</si>
  <si>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</si>
  <si>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</si>
  <si>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Customer_117</t>
  </si>
  <si>
    <t>ORD10554</t>
  </si>
  <si>
    <t>ORD10555</t>
  </si>
  <si>
    <t>Customer_126</t>
  </si>
  <si>
    <t>ORD10556</t>
  </si>
  <si>
    <t>Customer_74</t>
  </si>
  <si>
    <t>ORD10557</t>
  </si>
  <si>
    <t>ORD10558</t>
  </si>
  <si>
    <t>Customer_107</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</si>
  <si>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</si>
  <si>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</si>
  <si>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</si>
  <si>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</si>
  <si>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</si>
  <si>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</si>
  <si>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</si>
  <si>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</si>
  <si>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</si>
  <si>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</si>
  <si>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</si>
  <si>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</si>
  <si>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</si>
  <si>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</si>
  <si>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</si>
  <si>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</si>
  <si>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</si>
  <si>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</si>
  <si>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</si>
  <si>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</si>
  <si>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</si>
  <si>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</si>
  <si>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</si>
  <si>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</si>
  <si>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</si>
  <si>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</si>
  <si>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</si>
  <si>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</si>
  <si>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</si>
  <si>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</si>
  <si>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</si>
  <si>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</si>
  <si>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</si>
  <si>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</si>
  <si>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</si>
  <si>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</si>
  <si>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</si>
  <si>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</si>
  <si>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</si>
  <si>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</si>
  <si>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</si>
  <si>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</si>
  <si>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</si>
  <si>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</si>
  <si>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</si>
  <si>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</si>
  <si>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</si>
  <si>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</si>
  <si>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</si>
  <si>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</si>
  <si>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</si>
  <si>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</si>
  <si>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</si>
  <si>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</si>
  <si>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</si>
  <si>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</si>
  <si>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</si>
  <si>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</si>
  <si>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</si>
  <si>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</si>
  <si>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</si>
  <si>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</si>
  <si>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</si>
  <si>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Customer_8</t>
  </si>
  <si>
    <t>ORD10622</t>
  </si>
  <si>
    <t>ORD10623</t>
  </si>
  <si>
    <t>ORD10624</t>
  </si>
  <si>
    <t>ORD10625</t>
  </si>
  <si>
    <t>ORD10626</t>
  </si>
  <si>
    <t>ORD10627</t>
  </si>
  <si>
    <t>ORD10628</t>
  </si>
  <si>
    <t>ORD10629</t>
  </si>
  <si>
    <t>Customer_80</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</si>
  <si>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</si>
  <si>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</si>
  <si>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</si>
  <si>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</si>
  <si>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</si>
  <si>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</si>
  <si>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</si>
  <si>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</si>
  <si>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</si>
  <si>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</si>
  <si>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</si>
  <si>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</si>
  <si>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</si>
  <si>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</si>
  <si>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</si>
  <si>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</si>
  <si>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</si>
  <si>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Customer_143</t>
  </si>
  <si>
    <t>ORD10647</t>
  </si>
  <si>
    <t>ORD10648</t>
  </si>
  <si>
    <t>ORD10649</t>
  </si>
  <si>
    <t>ORD10650</t>
  </si>
  <si>
    <t>ORD10651</t>
  </si>
  <si>
    <t>ORD10652</t>
  </si>
  <si>
    <t>ORD10653</t>
  </si>
  <si>
    <t>ORD10654</t>
  </si>
  <si>
    <t>ORD10655</t>
  </si>
  <si>
    <t>ORD10656</t>
  </si>
  <si>
    <t>ORD10657</t>
  </si>
  <si>
    <t>Customer_72</t>
  </si>
  <si>
    <t>ORD10658</t>
  </si>
  <si>
    <t>ORD10659</t>
  </si>
  <si>
    <t>ORD10660</t>
  </si>
  <si>
    <t>ORD10661</t>
  </si>
  <si>
    <t>ORD10662</t>
  </si>
  <si>
    <t>ORD10663</t>
  </si>
  <si>
    <t>ORD10664</t>
  </si>
  <si>
    <t>ORD10665</t>
  </si>
  <si>
    <t>ORD10666</t>
  </si>
  <si>
    <t>ORD10667</t>
  </si>
  <si>
    <t>Customer_113</t>
  </si>
  <si>
    <t>ORD10668</t>
  </si>
  <si>
    <t>ORD10669</t>
  </si>
  <si>
    <t>ORD10670</t>
  </si>
  <si>
    <t>ORD10671</t>
  </si>
  <si>
    <t>ORD10672</t>
  </si>
  <si>
    <t>ORD10673</t>
  </si>
  <si>
    <t>ORD10674</t>
  </si>
  <si>
    <t>ORD10675</t>
  </si>
  <si>
    <t>ORD10676</t>
  </si>
  <si>
    <t>ORD10677</t>
  </si>
  <si>
    <t>ORD10678</t>
  </si>
  <si>
    <t>Customer_136</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</si>
  <si>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</si>
  <si>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</si>
  <si>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</si>
  <si>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</si>
  <si>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</si>
  <si>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</si>
  <si>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</si>
  <si>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</si>
  <si>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</si>
  <si>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</si>
  <si>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</si>
  <si>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</si>
  <si>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</si>
  <si>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</si>
  <si>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</si>
  <si>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</si>
  <si>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</si>
  <si>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</si>
  <si>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</si>
  <si>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</si>
  <si>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</si>
  <si>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</si>
  <si>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</si>
  <si>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</si>
  <si>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</si>
  <si>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</si>
  <si>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</si>
  <si>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</si>
  <si>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</si>
  <si>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</si>
  <si>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</si>
  <si>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</si>
  <si>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</si>
  <si>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</si>
  <si>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</si>
  <si>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</si>
  <si>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</si>
  <si>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</si>
  <si>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</si>
  <si>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</si>
  <si>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</si>
  <si>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</si>
  <si>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</si>
  <si>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</si>
  <si>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</si>
  <si>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</si>
  <si>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</si>
  <si>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</si>
  <si>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</si>
  <si>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</si>
  <si>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</si>
  <si>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</si>
  <si>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</si>
  <si>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</si>
  <si>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</si>
  <si>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</si>
  <si>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</si>
  <si>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</si>
  <si>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</si>
  <si>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</si>
  <si>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</si>
  <si>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</si>
  <si>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</si>
  <si>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</si>
  <si>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</si>
  <si>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</si>
  <si>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</si>
  <si>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</si>
  <si>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</si>
  <si>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</si>
  <si>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</si>
  <si>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</si>
  <si>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</si>
  <si>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</si>
  <si>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</si>
  <si>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</si>
  <si>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</si>
  <si>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</si>
  <si>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</si>
  <si>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</si>
  <si>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Customer_180</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</si>
  <si>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</si>
  <si>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</si>
  <si>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</si>
  <si>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</si>
  <si>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</si>
  <si>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</si>
  <si>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</si>
  <si>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</si>
  <si>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</si>
  <si>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</si>
  <si>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</si>
  <si>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</si>
  <si>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</si>
  <si>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</si>
  <si>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</si>
  <si>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</si>
  <si>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</si>
  <si>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</si>
  <si>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</si>
  <si>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Customer_38</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</si>
  <si>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</si>
  <si>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</si>
  <si>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</si>
  <si>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</si>
  <si>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</si>
  <si>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</si>
  <si>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</si>
  <si>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</si>
  <si>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</si>
  <si>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</si>
  <si>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</si>
  <si>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</si>
  <si>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</si>
  <si>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</si>
  <si>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</si>
  <si>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</si>
  <si>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</si>
  <si>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</si>
  <si>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</si>
  <si>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</si>
  <si>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</si>
  <si>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</si>
  <si>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</si>
  <si>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</si>
  <si>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</si>
  <si>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</si>
  <si>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</si>
  <si>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</si>
  <si>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</si>
  <si>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</si>
  <si>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</si>
  <si>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</si>
  <si>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</si>
  <si>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Customer_139</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</si>
  <si>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</si>
  <si>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</si>
  <si>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</si>
  <si>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</si>
  <si>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</si>
  <si>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</si>
  <si>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</si>
  <si>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</si>
  <si>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</si>
  <si>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</si>
  <si>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</si>
  <si>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</si>
  <si>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</si>
  <si>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</si>
  <si>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</si>
  <si>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</si>
  <si>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</si>
  <si>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</si>
  <si>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</si>
  <si>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</si>
  <si>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</si>
  <si>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</si>
  <si>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</si>
  <si>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</si>
  <si>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</si>
  <si>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</si>
  <si>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</si>
  <si>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</si>
  <si>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</si>
  <si>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</si>
  <si>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</si>
  <si>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</si>
  <si>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</si>
  <si>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</si>
  <si>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</si>
  <si>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</si>
  <si>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</si>
  <si>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</si>
  <si>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</si>
  <si>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</si>
  <si>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</si>
  <si>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</si>
  <si>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</si>
  <si>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</si>
  <si>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</si>
  <si>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</si>
  <si>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</si>
  <si>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</si>
  <si>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</si>
  <si>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</si>
  <si>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</si>
  <si>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</si>
  <si>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</si>
  <si>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</si>
  <si>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</si>
  <si>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</si>
  <si>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</si>
  <si>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</si>
  <si>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</si>
  <si>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</si>
  <si>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</si>
  <si>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</si>
  <si>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</si>
  <si>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</si>
  <si>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</si>
  <si>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</si>
  <si>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</si>
  <si>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</si>
  <si>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</si>
  <si>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</si>
  <si>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</si>
  <si>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</si>
  <si>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</si>
  <si>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</si>
  <si>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</si>
  <si>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</si>
  <si>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</si>
  <si>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</si>
  <si>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</si>
  <si>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</si>
  <si>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</si>
  <si>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</si>
  <si>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</si>
  <si>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</si>
  <si>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</si>
  <si>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</si>
  <si>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</si>
  <si>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</si>
  <si>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</si>
  <si>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</si>
  <si>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</si>
  <si>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</si>
  <si>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</si>
  <si>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</si>
  <si>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</si>
  <si>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</si>
  <si>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</si>
  <si>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</si>
  <si>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</si>
  <si>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</si>
  <si>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</si>
  <si>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</si>
  <si>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</si>
  <si>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</si>
  <si>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</si>
  <si>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</si>
  <si>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</si>
  <si>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</si>
  <si>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</si>
  <si>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</si>
  <si>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</si>
  <si>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</si>
  <si>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</si>
  <si>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</si>
  <si>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</si>
  <si>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</si>
  <si>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</si>
  <si>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</si>
  <si>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</si>
  <si>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</si>
  <si>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</si>
  <si>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</si>
  <si>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</si>
  <si>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</si>
  <si>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</si>
  <si>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</si>
  <si>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</si>
  <si>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</si>
  <si>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</si>
  <si>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</si>
  <si>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</si>
  <si>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</si>
  <si>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</si>
  <si>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</si>
  <si>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</si>
  <si>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</si>
  <si>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</si>
  <si>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</si>
  <si>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</si>
  <si>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</si>
  <si>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</si>
  <si>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</si>
  <si>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</si>
  <si>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</si>
  <si>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</si>
  <si>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</si>
  <si>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</si>
  <si>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</si>
  <si>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</si>
  <si>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</si>
  <si>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</si>
  <si>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</si>
  <si>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</si>
  <si>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</si>
  <si>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</si>
  <si>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</si>
  <si>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</si>
  <si>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</si>
  <si>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</si>
  <si>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</si>
  <si>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</si>
  <si>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</si>
  <si>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</si>
  <si>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</si>
  <si>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</si>
  <si>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</si>
  <si>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</si>
  <si>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</si>
  <si>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</si>
  <si>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</si>
  <si>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</si>
  <si>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</si>
  <si>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</si>
  <si>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</si>
  <si>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</si>
  <si>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</si>
  <si>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</si>
  <si>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</si>
  <si>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</si>
  <si>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</si>
  <si>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</si>
  <si>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</si>
  <si>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</si>
  <si>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</si>
  <si>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</si>
  <si>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</si>
  <si>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</si>
  <si>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</si>
  <si>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</si>
  <si>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</si>
  <si>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</si>
  <si>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Row Labels</t>
  </si>
  <si>
    <t>Grand Total</t>
  </si>
  <si>
    <t>Sum of Profit</t>
  </si>
  <si>
    <t>Sum of Sales</t>
  </si>
  <si>
    <t>2024</t>
  </si>
  <si>
    <t>2025</t>
  </si>
  <si>
    <t>Jan</t>
  </si>
  <si>
    <t>Feb</t>
  </si>
  <si>
    <t>Mar</t>
  </si>
  <si>
    <t>Apr</t>
  </si>
  <si>
    <t>May</t>
  </si>
  <si>
    <t>Jun</t>
  </si>
  <si>
    <t>Jul</t>
  </si>
  <si>
    <t>Aug</t>
  </si>
  <si>
    <t>Sep</t>
  </si>
  <si>
    <t>Oct</t>
  </si>
  <si>
    <t>Nov</t>
  </si>
  <si>
    <t>Dec</t>
  </si>
  <si>
    <t>SubProduct</t>
  </si>
  <si>
    <t>Average of Profit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</si>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</sst>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9" fontId="0" fillId="0" borderId="0" xfId="0" applyNumberFormat="1"/>
  </cellXfs>
  <cellStyles count="1">
    <cellStyle name="Normal" xfId="0" builtinId="0"/>
  </cellStyles>
  <dxfs count="34">
    <dxf>
      <numFmt numFmtId="1" formatCode="0"/>
    </dxf>
    <dxf>
      <numFmt numFmtId="13" formatCode="0%"/>
    </dxf>
    <dxf>
      <numFmt numFmtId="1" formatCode="0"/>
    </dxf>
    <dxf>
      <numFmt numFmtId="1" formatCode="0"/>
    </dxf>
    <dxf>
      <numFmt numFmtId="1" formatCode="0"/>
    </dxf>
    <dxf>
      <numFmt numFmtId="13" formatCode="0%"/>
    </dxf>
    <dxf>
      <numFmt numFmtId="1" formatCode="0"/>
    </dxf>
    <dxf>
      <numFmt numFmtId="1" formatCode="0"/>
    </dxf>
    <dxf>
      <numFmt numFmtId="13" formatCode="0%"/>
    </dxf>
    <dxf>
      <numFmt numFmtId="1" formatCode="0"/>
    </dxf>
    <dxf>
      <numFmt numFmtId="1" formatCode="0"/>
    </dxf>
    <dxf>
      <numFmt numFmtId="13" formatCode="0%"/>
    </dxf>
    <dxf>
      <numFmt numFmtId="1" formatCode="0"/>
    </dxf>
    <dxf>
      <numFmt numFmtId="13" formatCode="0%"/>
    </dxf>
    <dxf>
      <numFmt numFmtId="1" formatCode="0"/>
    </dxf>
    <dxf>
      <numFmt numFmtId="1" formatCode="0"/>
    </dxf>
    <dxf>
      <numFmt numFmtId="1" formatCode="0"/>
    </dxf>
    <dxf>
      <numFmt numFmtId="13" formatCode="0%"/>
    </dxf>
    <dxf>
      <numFmt numFmtId="1" formatCode="0"/>
    </dxf>
    <dxf>
      <numFmt numFmtId="1" formatCode="0"/>
    </dxf>
    <dxf>
      <numFmt numFmtId="13"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3" formatCode="0%"/>
    </dxf>
    <dxf>
      <numFmt numFmtId="1" formatCode="0"/>
    </dxf>
  </dxfs>
  <tableStyles count="0" defaultTableStyle="TableStyleMedium9" defaultPivotStyle="PivotStyleLight16"/>
  <colors>
    <mruColors>
      <color rgb="FFCCCCFF"/>
      <color rgb="FF1177AF"/>
      <color rgb="FF6600CC"/>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2.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10" Type="http://schemas.openxmlformats.org/officeDocument/2006/relationships/pivotCacheDefinition" Target="pivotCache/pivotCacheDefinition7.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[Sample_Superstore_Practice.xlsx]KPI!Profit_wise_category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Product vs Profit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KPI!$A$2:$A$5</c:f>
              <c:strCache>
                <c:ptCount val="3"/>
                <c:pt idx="0">
                  <c:v>Binders</c:v>
                </c:pt>
                <c:pt idx="1">
                  <c:v>Paper</c:v>
                </c:pt>
                <c:pt idx="2">
                  <c:v>Storage</c:v>
                </c:pt>
              </c:strCache>
            </c:strRef>
          </c:cat>
          <c:val>
            <c:numRef>
              <c:f>KPI!$B$2:$B$5</c:f>
              <c:numCache>
                <c:formatCode>0.00%</c:formatCode>
                <c:ptCount val="3"/>
                <c:pt idx="0">
                  <c:v>0.37729692064680309</c:v>
                </c:pt>
                <c:pt idx="1">
                  <c:v>0.39535354534048028</c:v>
                </c:pt>
                <c:pt idx="2">
                  <c:v>0.22734953401271668</c:v>
                </c:pt>
              </c:numCache>
            </c:numRef>
          </c:val>
          <c:extLst>
            <c:ext xmlns:c16="http://schemas.microsoft.com/office/drawing/2014/chart" uri="{C3380CC4-5D6E-409C-BE32-E72D297353CC}">
              <c16:uniqueId val="{00000000-62B5-4CB4-8F9A-6A60560DD21C}"/>
            </c:ext>
          </c:extLst>
        </c:ser>
        <c:dLbls>
          <c:dLblPos val="outEnd"/>
          <c:showLegendKey val="0"/>
          <c:showVal val="1"/>
          <c:showCatName val="0"/>
          <c:showSerName val="0"/>
          <c:showPercent val="0"/>
          <c:showBubbleSize val="0"/>
        </c:dLbls>
        <c:gapWidth val="182"/>
        <c:axId val="158128736"/>
        <c:axId val="158132096"/>
      </c:barChart>
      <c:catAx>
        <c:axId val="1581287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32096"/>
        <c:crosses val="autoZero"/>
        <c:auto val="1"/>
        <c:lblAlgn val="ctr"/>
        <c:lblOffset val="100"/>
        <c:noMultiLvlLbl val="0"/>
      </c:catAx>
      <c:valAx>
        <c:axId val="158132096"/>
        <c:scaling>
          <c:orientation val="minMax"/>
        </c:scaling>
        <c:delete val="1"/>
        <c:axPos val="b"/>
        <c:numFmt formatCode="0.00%" sourceLinked="1"/>
        <c:majorTickMark val="out"/>
        <c:minorTickMark val="none"/>
        <c:tickLblPos val="nextTo"/>
        <c:crossAx val="15812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[Sample_Superstore_Practice.xlsx]KPI!PivotTable3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KPI!$J$1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KPI!$I$2:$I$14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KPI!$J$2:$J$14</c:f>
              <c:numCache>
                <c:formatCode>0.00%</c:formatCode>
                <c:ptCount val="12"/>
                <c:pt idx="0">
                  <c:v>5.5623138710087901E-2</c:v>
                </c:pt>
                <c:pt idx="1">
                  <c:v>0.11861216833791016</c:v>
                </c:pt>
                <c:pt idx="2">
                  <c:v>9.7267537351841557E-2</c:v>
                </c:pt>
                <c:pt idx="3">
                  <c:v>8.7945874318455422E-2</c:v>
                </c:pt>
                <c:pt idx="4">
                  <c:v>0.11546859440829838</c:v>
                </c:pt>
                <c:pt idx="5">
                  <c:v>0.11750504318525583</c:v>
                </c:pt>
                <c:pt idx="6">
                  <c:v>6.1836493124538268E-2</c:v>
                </c:pt>
                <c:pt idx="7">
                  <c:v>2.8532362805761755E-2</c:v>
                </c:pt>
                <c:pt idx="8">
                  <c:v>4.620667501264121E-2</c:v>
                </c:pt>
                <c:pt idx="9">
                  <c:v>0.10341585877892365</c:v>
                </c:pt>
                <c:pt idx="10">
                  <c:v>9.9066425766007021E-2</c:v>
                </c:pt>
                <c:pt idx="11">
                  <c:v>6.8519828200278909E-2</c:v>
                </c:pt>
              </c:numCache>
            </c:numRef>
          </c:val>
          <c:smooth val="0"/>
          <c:extLst>
            <c:ext xmlns:c16="http://schemas.microsoft.com/office/drawing/2014/chart" uri="{C3380CC4-5D6E-409C-BE32-E72D297353CC}">
              <c16:uniqueId val="{00000000-7C54-4522-B984-6DCFD458F0BF}"/>
            </c:ext>
          </c:extLst>
        </c:ser>
        <c:dLbls>
          <c:dLblPos val="t"/>
          <c:showLegendKey val="0"/>
          <c:showVal val="1"/>
          <c:showCatName val="0"/>
          <c:showSerName val="0"/>
          <c:showPercent val="0"/>
          <c:showBubbleSize val="0"/>
        </c:dLbls>
        <c:marker val="1"/>
        <c:smooth val="0"/>
        <c:axId val="158549504"/>
        <c:axId val="158566304"/>
      </c:lineChart>
      <c:catAx>
        <c:axId val="158549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66304"/>
        <c:crosses val="autoZero"/>
        <c:auto val="1"/>
        <c:lblAlgn val="ctr"/>
        <c:lblOffset val="100"/>
        <c:noMultiLvlLbl val="0"/>
      </c:catAx>
      <c:valAx>
        <c:axId val="158566304"/>
        <c:scaling>
          <c:orientation val="minMax"/>
        </c:scaling>
        <c:delete val="1"/>
        <c:axPos val="l"/>
        <c:numFmt formatCode="0.00%" sourceLinked="1"/>
        <c:majorTickMark val="out"/>
        <c:minorTickMark val="none"/>
        <c:tickLblPos val="nextTo"/>
        <c:crossAx val="15854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[Sample_Superstore_Practice.xlsx]KPI!PivotTable5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Year vs Profit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KPI!$Q$1</c:f>
              <c:strCache>
                <c:ptCount val="1"/>
                <c:pt idx="0">
                  <c:v>Total</c:v>
                </c:pt>
              </c:strCache>
            </c:strRef>
          </c:tx>
          <c:dPt>
            <c:idx val="0"/>
            <c:bubble3D val="0"/>
            <c:spPr>
              <a:solidFill>
                <a:schemeClr val="accent6"/>
              </a:solidFill>
              <a:ln w="19050">
                <a:solidFill>
                  <a:schemeClr val="lt1"/>
                </a:solidFill>
              </a:ln>
              <a:effectLst/>
            </c:spPr>
          </c:dPt>
          <c:dPt>
            <c:idx val="1"/>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KPI!$P$2:$P$4</c:f>
              <c:strCache>
                <c:ptCount val="2"/>
                <c:pt idx="0">
                  <c:v>2024</c:v>
                </c:pt>
                <c:pt idx="1">
                  <c:v>2025</c:v>
                </c:pt>
              </c:strCache>
            </c:strRef>
          </c:cat>
          <c:val>
            <c:numRef>
              <c:f>KPI!$Q$2:$Q$4</c:f>
              <c:numCache>
                <c:formatCode>0.00%</c:formatCode>
                <c:ptCount val="2"/>
                <c:pt idx="0">
                  <c:v>0.55548273646000335</c:v>
                </c:pt>
                <c:pt idx="1">
                  <c:v>0.44451726353999677</c:v>
                </c:pt>
              </c:numCache>
            </c:numRef>
          </c:val>
          <c:extLst>
            <c:ext xmlns:c16="http://schemas.microsoft.com/office/drawing/2014/chart" uri="{C3380CC4-5D6E-409C-BE32-E72D297353CC}">
              <c16:uniqueId val="{00000000-B9EB-4059-AC8A-12B414E002D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[Sample_Superstore_Practice.xlsx]KPI!Sales_subcategory</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lumMod val="95000"/>
                    <a:lumOff val="5000"/>
                  </a:schemeClr>
                </a:solidFill>
                <a:latin typeface="Calibri"/>
              </a:rPr>
              <a:t>Product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KPI!$F$1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KPI!$E$2:$E$4</c:f>
              <c:strCache>
                <c:ptCount val="3"/>
                <c:pt idx="0">
                  <c:v>Binders</c:v>
                </c:pt>
                <c:pt idx="1">
                  <c:v>Paper</c:v>
                </c:pt>
                <c:pt idx="2">
                  <c:v>Storage</c:v>
                </c:pt>
              </c:strCache>
            </c:strRef>
          </c:cat>
          <c:val>
            <c:numRef>
              <c:f>KPI!$F$2:$F$4</c:f>
              <c:numCache>
                <c:formatCode>0.00%</c:formatCode>
                <c:ptCount val="3"/>
                <c:pt idx="0">
                  <c:v>0.34819935278992192</c:v>
                </c:pt>
                <c:pt idx="1">
                  <c:v>0.31640662485455295</c:v>
                </c:pt>
                <c:pt idx="2">
                  <c:v>0.33539402235552523</c:v>
                </c:pt>
              </c:numCache>
            </c:numRef>
          </c:val>
          <c:extLst>
            <c:ext xmlns:c16="http://schemas.microsoft.com/office/drawing/2014/chart" uri="{C3380CC4-5D6E-409C-BE32-E72D297353CC}">
              <c16:uniqueId val="{00000000-8A5B-445F-88E9-9F38C0A1F3AD}"/>
            </c:ext>
          </c:extLst>
        </c:ser>
        <c:dLbls>
          <c:dLblPos val="outEnd"/>
          <c:showLegendKey val="0"/>
          <c:showVal val="1"/>
          <c:showCatName val="0"/>
          <c:showSerName val="0"/>
          <c:showPercent val="0"/>
          <c:showBubbleSize val="0"/>
        </c:dLbls>
        <c:gapWidth val="219"/>
        <c:overlap val="-27"/>
        <c:axId val="158253152"/>
        <c:axId val="158262272"/>
      </c:barChart>
      <c:catAx>
        <c:axId val="158253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62272"/>
        <c:crosses val="autoZero"/>
        <c:auto val="1"/>
        <c:lblAlgn val="ctr"/>
        <c:lblOffset val="100"/>
        <c:noMultiLvlLbl val="0"/>
      </c:catAx>
      <c:valAx>
        <c:axId val="158262272"/>
        <c:scaling>
          <c:orientation val="minMax"/>
        </c:scaling>
        <c:delete val="1"/>
        <c:axPos val="l"/>
        <c:numFmt formatCode="0.00%" sourceLinked="1"/>
        <c:majorTickMark val="out"/>
        <c:minorTickMark val="none"/>
        <c:tickLblPos val="nextTo"/>
        <c:crossAx val="15825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[Sample_Superstore_Practice.xlsx]KPI!Profit_wise_category</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Product vs Profit</a:t>
            </a:r>
          </a:p>
          <a:p>
            <a:pPr algn="ctr">
              <a:defRPr/>
            </a:pPr>
            <a:endParaRPr lang="en-US"/>
          </a:p>
        </c:rich>
      </c:tx>
      <c:layout>
        <c:manualLayout>
          <c:xMode val="edge"/>
          <c:yMode val="edge"/>
          <c:x val="0.39993040910263061"/>
          <c:y val="4.837225549360898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CCCC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KPI!$B$1</c:f>
              <c:strCache>
                <c:ptCount val="1"/>
                <c:pt idx="0">
                  <c:v>Total</c:v>
                </c:pt>
              </c:strCache>
            </c:strRef>
          </c:tx>
          <c:spPr>
            <a:solidFill>
              <a:schemeClr val="accent1"/>
            </a:solidFill>
            <a:ln>
              <a:noFill/>
            </a:ln>
            <a:effectLst/>
          </c:spPr>
          <c:invertIfNegative val="0"/>
          <c:dLbls>
            <c:spPr>
              <a:solidFill>
                <a:srgbClr val="CCCC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KPI!$A$2:$A$5</c:f>
              <c:strCache>
                <c:ptCount val="3"/>
                <c:pt idx="0">
                  <c:v>Binders</c:v>
                </c:pt>
                <c:pt idx="1">
                  <c:v>Paper</c:v>
                </c:pt>
                <c:pt idx="2">
                  <c:v>Storage</c:v>
                </c:pt>
              </c:strCache>
            </c:strRef>
          </c:cat>
          <c:val>
            <c:numRef>
              <c:f>KPI!$B$2:$B$5</c:f>
              <c:numCache>
                <c:formatCode>0.00%</c:formatCode>
                <c:ptCount val="3"/>
                <c:pt idx="0">
                  <c:v>0.37729692064680309</c:v>
                </c:pt>
                <c:pt idx="1">
                  <c:v>0.39535354534048028</c:v>
                </c:pt>
                <c:pt idx="2">
                  <c:v>0.22734953401271668</c:v>
                </c:pt>
              </c:numCache>
            </c:numRef>
          </c:val>
          <c:extLst>
            <c:ext xmlns:c16="http://schemas.microsoft.com/office/drawing/2014/chart" uri="{C3380CC4-5D6E-409C-BE32-E72D297353CC}">
              <c16:uniqueId val="{00000000-1FB2-4DBA-B6FA-1406C81510F8}"/>
            </c:ext>
          </c:extLst>
        </c:ser>
        <c:dLbls>
          <c:dLblPos val="outEnd"/>
          <c:showLegendKey val="0"/>
          <c:showVal val="1"/>
          <c:showCatName val="0"/>
          <c:showSerName val="0"/>
          <c:showPercent val="0"/>
          <c:showBubbleSize val="0"/>
        </c:dLbls>
        <c:gapWidth val="182"/>
        <c:axId val="158128736"/>
        <c:axId val="158132096"/>
      </c:barChart>
      <c:catAx>
        <c:axId val="1581287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32096"/>
        <c:crosses val="autoZero"/>
        <c:auto val="1"/>
        <c:lblAlgn val="ctr"/>
        <c:lblOffset val="100"/>
        <c:noMultiLvlLbl val="0"/>
      </c:catAx>
      <c:valAx>
        <c:axId val="158132096"/>
        <c:scaling>
          <c:orientation val="minMax"/>
        </c:scaling>
        <c:delete val="1"/>
        <c:axPos val="b"/>
        <c:numFmt formatCode="0.00%" sourceLinked="1"/>
        <c:majorTickMark val="out"/>
        <c:minorTickMark val="none"/>
        <c:tickLblPos val="nextTo"/>
        <c:crossAx val="15812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[Sample_Superstore_Practice.xlsx]KPI!PivotTable3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vs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solidFill>
              <a:srgbClr val="CCCC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KPI!$J$1</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solidFill>
                <a:srgbClr val="CCCC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KPI!$I$2:$I$14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KPI!$J$2:$J$14</c:f>
              <c:numCache>
                <c:formatCode>0.00%</c:formatCode>
                <c:ptCount val="12"/>
                <c:pt idx="0">
                  <c:v>5.5623138710087901E-2</c:v>
                </c:pt>
                <c:pt idx="1">
                  <c:v>0.11861216833791016</c:v>
                </c:pt>
                <c:pt idx="2">
                  <c:v>9.7267537351841557E-2</c:v>
                </c:pt>
                <c:pt idx="3">
                  <c:v>8.7945874318455422E-2</c:v>
                </c:pt>
                <c:pt idx="4">
                  <c:v>0.11546859440829838</c:v>
                </c:pt>
                <c:pt idx="5">
                  <c:v>0.11750504318525583</c:v>
                </c:pt>
                <c:pt idx="6">
                  <c:v>6.1836493124538268E-2</c:v>
                </c:pt>
                <c:pt idx="7">
                  <c:v>2.8532362805761755E-2</c:v>
                </c:pt>
                <c:pt idx="8">
                  <c:v>4.620667501264121E-2</c:v>
                </c:pt>
                <c:pt idx="9">
                  <c:v>0.10341585877892365</c:v>
                </c:pt>
                <c:pt idx="10">
                  <c:v>9.9066425766007021E-2</c:v>
                </c:pt>
                <c:pt idx="11">
                  <c:v>6.8519828200278909E-2</c:v>
                </c:pt>
              </c:numCache>
            </c:numRef>
          </c:val>
          <c:smooth val="0"/>
          <c:extLst>
            <c:ext xmlns:c16="http://schemas.microsoft.com/office/drawing/2014/chart" uri="{C3380CC4-5D6E-409C-BE32-E72D297353CC}">
              <c16:uniqueId val="{00000000-DD1B-4EA7-9879-5901AD410E97}"/>
            </c:ext>
          </c:extLst>
        </c:ser>
        <c:dLbls>
          <c:dLblPos val="t"/>
          <c:showLegendKey val="0"/>
          <c:showVal val="1"/>
          <c:showCatName val="0"/>
          <c:showSerName val="0"/>
          <c:showPercent val="0"/>
          <c:showBubbleSize val="0"/>
        </c:dLbls>
        <c:marker val="1"/>
        <c:smooth val="0"/>
        <c:axId val="158549504"/>
        <c:axId val="158566304"/>
      </c:lineChart>
      <c:catAx>
        <c:axId val="158549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66304"/>
        <c:crosses val="autoZero"/>
        <c:auto val="1"/>
        <c:lblAlgn val="ctr"/>
        <c:lblOffset val="100"/>
        <c:noMultiLvlLbl val="0"/>
      </c:catAx>
      <c:valAx>
        <c:axId val="158566304"/>
        <c:scaling>
          <c:orientation val="minMax"/>
        </c:scaling>
        <c:delete val="1"/>
        <c:axPos val="l"/>
        <c:numFmt formatCode="0.00%" sourceLinked="1"/>
        <c:majorTickMark val="none"/>
        <c:minorTickMark val="none"/>
        <c:tickLblPos val="nextTo"/>
        <c:crossAx val="15854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[Sample_Superstore_Practice.xlsx]KPI!PivotTable5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Year vs Profit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rgbClr val="CCCC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KPI!$Q$1</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4D88-4655-81EF-4DB8D5B25892}"/>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4D88-4655-81EF-4DB8D5B25892}"/>
              </c:ext>
            </c:extLst>
          </c:dPt>
          <c:dLbls>
            <c:spPr>
              <a:solidFill>
                <a:srgbClr val="CCCC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KPI!$P$2:$P$4</c:f>
              <c:strCache>
                <c:ptCount val="2"/>
                <c:pt idx="0">
                  <c:v>2024</c:v>
                </c:pt>
                <c:pt idx="1">
                  <c:v>2025</c:v>
                </c:pt>
              </c:strCache>
            </c:strRef>
          </c:cat>
          <c:val>
            <c:numRef>
              <c:f>KPI!$Q$2:$Q$4</c:f>
              <c:numCache>
                <c:formatCode>0.00%</c:formatCode>
                <c:ptCount val="2"/>
                <c:pt idx="0">
                  <c:v>0.55548273646000335</c:v>
                </c:pt>
                <c:pt idx="1">
                  <c:v>0.44451726353999677</c:v>
                </c:pt>
              </c:numCache>
            </c:numRef>
          </c:val>
          <c:extLst>
            <c:ext xmlns:c16="http://schemas.microsoft.com/office/drawing/2014/chart" uri="{C3380CC4-5D6E-409C-BE32-E72D297353CC}">
              <c16:uniqueId val="{00000004-4D88-4655-81EF-4DB8D5B2589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[Sample_Superstore_Practice.xlsx]KPI!Sales_subcategory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lumMod val="95000"/>
                    <a:lumOff val="5000"/>
                  </a:schemeClr>
                </a:solidFill>
                <a:latin typeface="Calibri"/>
              </a:rPr>
              <a:t>Product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120534409004649E-2"/>
          <c:y val="0.14848057838602233"/>
          <c:w val="0.90046408810969758"/>
          <c:h val="0.69318102590298514"/>
        </c:manualLayout>
      </c:layout>
      <c:barChart>
        <c:barDir val="col"/>
        <c:grouping val="clustered"/>
        <c:varyColors val="0"/>
        <c:ser>
          <c:idx val="0"/>
          <c:order val="0"/>
          <c:tx>
            <c:strRef>
              <c:f>KPI!$F$1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KPI!$E$2:$E$4</c:f>
              <c:strCache>
                <c:ptCount val="3"/>
                <c:pt idx="0">
                  <c:v>Binders</c:v>
                </c:pt>
                <c:pt idx="1">
                  <c:v>Paper</c:v>
                </c:pt>
                <c:pt idx="2">
                  <c:v>Storage</c:v>
                </c:pt>
              </c:strCache>
            </c:strRef>
          </c:cat>
          <c:val>
            <c:numRef>
              <c:f>KPI!$F$2:$F$4</c:f>
              <c:numCache>
                <c:formatCode>0.00%</c:formatCode>
                <c:ptCount val="3"/>
                <c:pt idx="0">
                  <c:v>0.34819935278992192</c:v>
                </c:pt>
                <c:pt idx="1">
                  <c:v>0.31640662485455295</c:v>
                </c:pt>
                <c:pt idx="2">
                  <c:v>0.33539402235552523</c:v>
                </c:pt>
              </c:numCache>
            </c:numRef>
          </c:val>
          <c:extLst>
            <c:ext xmlns:c16="http://schemas.microsoft.com/office/drawing/2014/chart" uri="{C3380CC4-5D6E-409C-BE32-E72D297353CC}">
              <c16:uniqueId val="{00000000-BB71-48CC-8F3C-44738786AA02}"/>
            </c:ext>
          </c:extLst>
        </c:ser>
        <c:dLbls>
          <c:dLblPos val="outEnd"/>
          <c:showLegendKey val="0"/>
          <c:showVal val="1"/>
          <c:showCatName val="0"/>
          <c:showSerName val="0"/>
          <c:showPercent val="0"/>
          <c:showBubbleSize val="0"/>
        </c:dLbls>
        <c:gapWidth val="219"/>
        <c:overlap val="-27"/>
        <c:axId val="158253152"/>
        <c:axId val="158262272"/>
      </c:barChart>
      <c:catAx>
        <c:axId val="158253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62272"/>
        <c:crosses val="autoZero"/>
        <c:auto val="1"/>
        <c:lblAlgn val="ctr"/>
        <c:lblOffset val="100"/>
        <c:noMultiLvlLbl val="0"/>
      </c:catAx>
      <c:valAx>
        <c:axId val="158262272"/>
        <c:scaling>
          <c:orientation val="minMax"/>
        </c:scaling>
        <c:delete val="1"/>
        <c:axPos val="l"/>
        <c:numFmt formatCode="0.00%" sourceLinked="1"/>
        <c:majorTickMark val="out"/>
        <c:minorTickMark val="none"/>
        <c:tickLblPos val="nextTo"/>
        <c:crossAx val="15825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chemeClr val="tx1">
                    <a:lumMod val="95000"/>
                    <a:lumOff val="5000"/>
                  </a:schemeClr>
                </a:solidFill>
                <a:latin typeface="Calibri"/>
              </a:rPr>
              <a:t>Product vs Sales</a:t>
            </a:r>
          </a:p>
          <a:p>
            <a:pPr algn="ctr" rtl="0">
              <a:defRPr/>
            </a:pPr>
            <a:endParaRPr lang="en-US" sz="1400" b="0" i="0" u="none" strike="noStrike" baseline="0">
              <a:solidFill>
                <a:sysClr val="windowText" lastClr="000000">
                  <a:lumMod val="65000"/>
                  <a:lumOff val="35000"/>
                </a:sysClr>
              </a:solidFill>
              <a:latin typeface="Calibri"/>
            </a:endParaRPr>
          </a:p>
        </cx:rich>
      </cx:tx>
    </cx:title>
    <cx:plotArea>
      <cx:plotAreaRegion>
        <cx:series layoutId="treemap" uniqueId="{00000000-CC42-4CC3-98AE-F14F09BFBD50}">
          <cx:tx>
            <cx:txData>
              <cx:f>_xlchart.v1.4</cx:f>
              <cx:v>Sum of Sales</cx:v>
            </cx:txData>
          </cx:tx>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8.xml"/><Relationship Id="rId5" Type="http://schemas.openxmlformats.org/officeDocument/2006/relationships/hyperlink" Target="#KPI!A1"/><Relationship Id="rId4" Type="http://schemas.openxmlformats.org/officeDocument/2006/relationships/hyperlink" Target="#'Main data'!A1"/></Relationships>
</file>

<file path=xl/drawings/drawing1.xml><?xml version="1.0" encoding="utf-8"?>
<xdr:wsDr xmlns:xdr="http://schemas.openxmlformats.org/drawingml/2006/spreadsheetDrawing" xmlns:a="http://schemas.openxmlformats.org/drawingml/2006/main">
  <xdr:twoCellAnchor editAs="oneCell">
    <xdr:from>
      <xdr:col>16</xdr:col>
      <xdr:colOff>600792</xdr:colOff>
      <xdr:row>15</xdr:row>
      <xdr:rowOff>5345</xdr:rowOff>
    </xdr:from>
    <xdr:to>
      <xdr:col>18</xdr:col>
      <xdr:colOff>477742</xdr:colOff>
      <xdr:row>23</xdr:row>
      <xdr:rowOff>157745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34E1E845-0754-B007-113C-6E76F7AC78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750276" y="2770668"/>
              <a:ext cx="1843401" cy="1627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317253</xdr:colOff>
      <xdr:row>15</xdr:row>
      <xdr:rowOff>100171</xdr:rowOff>
    </xdr:from>
    <xdr:to>
      <xdr:col>16</xdr:col>
      <xdr:colOff>104212</xdr:colOff>
      <xdr:row>24</xdr:row>
      <xdr:rowOff>36871</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1D428729-8B10-0292-AB33-702D699111A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414253" y="2865494"/>
              <a:ext cx="1839443" cy="1595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121920</xdr:colOff>
      <xdr:row>11</xdr:row>
      <xdr:rowOff>121920</xdr:rowOff>
    </xdr:from>
    <xdr:to>
      <xdr:col>3</xdr:col>
      <xdr:colOff>563880</xdr:colOff>
      <xdr:row>26</xdr:row>
      <xdr:rowOff>137160</xdr:rowOff>
    </xdr:to>
    <xdr:graphicFrame macro="">
      <xdr:nvGraphicFramePr>
        <xdr:cNvPr id="4" name="Chart 3">
          <a:extLst>
            <a:ext uri="{FF2B5EF4-FFF2-40B4-BE49-F238E27FC236}">
              <a16:creationId xmlns:a16="http://schemas.microsoft.com/office/drawing/2014/main" id="{A02AF627-12C7-1958-0BA8-A7116C373E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316970</xdr:colOff>
      <xdr:row>29</xdr:row>
      <xdr:rowOff>45856</xdr:rowOff>
    </xdr:from>
    <xdr:to>
      <xdr:col>16</xdr:col>
      <xdr:colOff>235964</xdr:colOff>
      <xdr:row>49</xdr:row>
      <xdr:rowOff>12813</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03567EBA-F6AC-BE53-B941-7D1ABE6F1F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997260" y="5392146"/>
              <a:ext cx="5388188" cy="365405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677091</xdr:colOff>
      <xdr:row>28</xdr:row>
      <xdr:rowOff>76200</xdr:rowOff>
    </xdr:from>
    <xdr:to>
      <xdr:col>8</xdr:col>
      <xdr:colOff>81642</xdr:colOff>
      <xdr:row>41</xdr:row>
      <xdr:rowOff>7619</xdr:rowOff>
    </xdr:to>
    <xdr:graphicFrame macro="">
      <xdr:nvGraphicFramePr>
        <xdr:cNvPr id="7" name="Chart 6">
          <a:extLst>
            <a:ext uri="{FF2B5EF4-FFF2-40B4-BE49-F238E27FC236}">
              <a16:creationId xmlns:a16="http://schemas.microsoft.com/office/drawing/2014/main" id="{C9A7AC98-AB3E-E83A-69BB-23CB414BB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732067</xdr:colOff>
      <xdr:row>4</xdr:row>
      <xdr:rowOff>116798</xdr:rowOff>
    </xdr:from>
    <xdr:to>
      <xdr:col>16</xdr:col>
      <xdr:colOff>958645</xdr:colOff>
      <xdr:row>14</xdr:row>
      <xdr:rowOff>53701</xdr:rowOff>
    </xdr:to>
    <xdr:graphicFrame macro="">
      <xdr:nvGraphicFramePr>
        <xdr:cNvPr id="8" name="Chart 7">
          <a:extLst>
            <a:ext uri="{FF2B5EF4-FFF2-40B4-BE49-F238E27FC236}">
              <a16:creationId xmlns:a16="http://schemas.microsoft.com/office/drawing/2014/main" id="{A9415E56-E656-73EF-0D90-2F59C39B8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510046</xdr:colOff>
      <xdr:row>9</xdr:row>
      <xdr:rowOff>121674</xdr:rowOff>
    </xdr:from>
    <xdr:to>
      <xdr:col>8</xdr:col>
      <xdr:colOff>1130710</xdr:colOff>
      <xdr:row>28</xdr:row>
      <xdr:rowOff>172065</xdr:rowOff>
    </xdr:to>
    <xdr:graphicFrame macro="">
      <xdr:nvGraphicFramePr>
        <xdr:cNvPr id="12" name="Chart 11">
          <a:extLst>
            <a:ext uri="{FF2B5EF4-FFF2-40B4-BE49-F238E27FC236}">
              <a16:creationId xmlns:a16="http://schemas.microsoft.com/office/drawing/2014/main" id="{F6B3222B-137A-73FC-3B8B-96424D034A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4</xdr:row>
      <xdr:rowOff>38100</xdr:rowOff>
    </xdr:from>
    <xdr:to>
      <xdr:col>22</xdr:col>
      <xdr:colOff>304800</xdr:colOff>
      <xdr:row>27</xdr:row>
      <xdr:rowOff>22860</xdr:rowOff>
    </xdr:to>
    <xdr:sp macro="" textlink="">
      <xdr:nvSpPr>
        <xdr:cNvPr id="15" name="Rectangle 14">
          <a:extLst>
            <a:ext uri="{FF2B5EF4-FFF2-40B4-BE49-F238E27FC236}">
              <a16:creationId xmlns:a16="http://schemas.microsoft.com/office/drawing/2014/main" id="{C61E0BAD-B256-C95E-C5F5-A0626F63C6BD}"/>
            </a:ext>
          </a:extLst>
        </xdr:cNvPr>
        <xdr:cNvSpPr/>
      </xdr:nvSpPr>
      <xdr:spPr>
        <a:xfrm>
          <a:off x="60960" y="769620"/>
          <a:ext cx="13655040" cy="4191000"/>
        </a:xfrm>
        <a:prstGeom prst="rect">
          <a:avLst/>
        </a:prstGeom>
        <a:solidFill>
          <a:schemeClr val="accent1">
            <a:lumMod val="60000"/>
            <a:lumOff val="4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99060</xdr:colOff>
      <xdr:row>0</xdr:row>
      <xdr:rowOff>45720</xdr:rowOff>
    </xdr:from>
    <xdr:to>
      <xdr:col>22</xdr:col>
      <xdr:colOff>350520</xdr:colOff>
      <xdr:row>3</xdr:row>
      <xdr:rowOff>160020</xdr:rowOff>
    </xdr:to>
    <xdr:sp macro="" textlink="">
      <xdr:nvSpPr>
        <xdr:cNvPr id="2" name="Rectangle 1">
          <a:extLst>
            <a:ext uri="{FF2B5EF4-FFF2-40B4-BE49-F238E27FC236}">
              <a16:creationId xmlns:a16="http://schemas.microsoft.com/office/drawing/2014/main" id="{925EA740-3FF0-97EA-2C9A-F58BEE896E13}"/>
            </a:ext>
          </a:extLst>
        </xdr:cNvPr>
        <xdr:cNvSpPr/>
      </xdr:nvSpPr>
      <xdr:spPr>
        <a:xfrm>
          <a:off x="99060" y="45720"/>
          <a:ext cx="13662660" cy="662940"/>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lvl="1" algn="l"/>
          <a:r>
            <a:rPr lang="en-IN" sz="3200">
              <a:solidFill>
                <a:srgbClr val="FFFF00"/>
              </a:solidFill>
            </a:rPr>
            <a:t>SALES</a:t>
          </a:r>
          <a:r>
            <a:rPr lang="en-IN" sz="3200" baseline="0">
              <a:solidFill>
                <a:srgbClr val="FFFF00"/>
              </a:solidFill>
            </a:rPr>
            <a:t> PERFORMANCE DASHBOARD</a:t>
          </a:r>
          <a:endParaRPr lang="en-IN" sz="3200">
            <a:solidFill>
              <a:srgbClr val="FFFF00"/>
            </a:solidFill>
          </a:endParaRPr>
        </a:p>
      </xdr:txBody>
    </xdr:sp>
    <xdr:clientData/>
  </xdr:twoCellAnchor>
  <xdr:twoCellAnchor editAs="oneCell">
    <xdr:from>
      <xdr:col>19</xdr:col>
      <xdr:colOff>474980</xdr:colOff>
      <xdr:row>4</xdr:row>
      <xdr:rowOff>128587</xdr:rowOff>
    </xdr:from>
    <xdr:to>
      <xdr:col>22</xdr:col>
      <xdr:colOff>192034</xdr:colOff>
      <xdr:row>13</xdr:row>
      <xdr:rowOff>60106</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0B0E80B0-A512-4988-A2CA-CA662EE1CB2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057380" y="860107"/>
              <a:ext cx="1545854" cy="1577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4515</xdr:colOff>
      <xdr:row>4</xdr:row>
      <xdr:rowOff>129077</xdr:rowOff>
    </xdr:from>
    <xdr:to>
      <xdr:col>19</xdr:col>
      <xdr:colOff>408940</xdr:colOff>
      <xdr:row>13</xdr:row>
      <xdr:rowOff>96520</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BB409C3D-B0E2-4608-A021-AB2ABC139A6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367715" y="860597"/>
              <a:ext cx="1623625" cy="1613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22860</xdr:colOff>
      <xdr:row>13</xdr:row>
      <xdr:rowOff>137160</xdr:rowOff>
    </xdr:from>
    <xdr:to>
      <xdr:col>17</xdr:col>
      <xdr:colOff>60960</xdr:colOff>
      <xdr:row>26</xdr:row>
      <xdr:rowOff>99060</xdr:rowOff>
    </xdr:to>
    <xdr:graphicFrame macro="">
      <xdr:nvGraphicFramePr>
        <xdr:cNvPr id="10" name="Chart 9">
          <a:extLst>
            <a:ext uri="{FF2B5EF4-FFF2-40B4-BE49-F238E27FC236}">
              <a16:creationId xmlns:a16="http://schemas.microsoft.com/office/drawing/2014/main" id="{6DC9D441-8EF9-474D-ACD3-9A2089E42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277906</xdr:colOff>
      <xdr:row>4</xdr:row>
      <xdr:rowOff>176216</xdr:rowOff>
    </xdr:from>
    <xdr:to>
      <xdr:col>16</xdr:col>
      <xdr:colOff>541019</xdr:colOff>
      <xdr:row>13</xdr:row>
      <xdr:rowOff>53340</xdr:rowOff>
    </xdr:to>
    <xdr:graphicFrame macro="">
      <xdr:nvGraphicFramePr>
        <xdr:cNvPr id="11" name="Chart 10">
          <a:extLst>
            <a:ext uri="{FF2B5EF4-FFF2-40B4-BE49-F238E27FC236}">
              <a16:creationId xmlns:a16="http://schemas.microsoft.com/office/drawing/2014/main" id="{290EE58B-1264-4A03-86F0-4D53EE016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186466</xdr:colOff>
      <xdr:row>13</xdr:row>
      <xdr:rowOff>129987</xdr:rowOff>
    </xdr:from>
    <xdr:to>
      <xdr:col>22</xdr:col>
      <xdr:colOff>224566</xdr:colOff>
      <xdr:row>26</xdr:row>
      <xdr:rowOff>69028</xdr:rowOff>
    </xdr:to>
    <xdr:graphicFrame macro="">
      <xdr:nvGraphicFramePr>
        <xdr:cNvPr id="12" name="Chart 11">
          <a:extLst>
            <a:ext uri="{FF2B5EF4-FFF2-40B4-BE49-F238E27FC236}">
              <a16:creationId xmlns:a16="http://schemas.microsoft.com/office/drawing/2014/main" id="{F447923E-C30F-4C9F-A8DD-762DA34C0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135255</xdr:colOff>
      <xdr:row>1</xdr:row>
      <xdr:rowOff>175259</xdr:rowOff>
    </xdr:from>
    <xdr:to>
      <xdr:col>17</xdr:col>
      <xdr:colOff>220980</xdr:colOff>
      <xdr:row>3</xdr:row>
      <xdr:rowOff>113346</xdr:rowOff>
    </xdr:to>
    <xdr:sp macro="" textlink="KPI!K3">
      <xdr:nvSpPr>
        <xdr:cNvPr id="5" name="TextBox 4">
          <a:extLst>
            <a:ext uri="{FF2B5EF4-FFF2-40B4-BE49-F238E27FC236}">
              <a16:creationId xmlns:a16="http://schemas.microsoft.com/office/drawing/2014/main" id="{2CCEFF19-EE3C-7C02-FFEF-2FFEF07FE7E3}"/>
            </a:ext>
          </a:extLst>
        </xdr:cNvPr>
        <xdr:cNvSpPr txBox="1"/>
      </xdr:nvSpPr>
      <xdr:spPr>
        <a:xfrm>
          <a:off x="9279255" y="358139"/>
          <a:ext cx="1304925" cy="3038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1B8306-B8A0-41F5-ABC2-D396E48379CA}" type="TxLink">
            <a:rPr lang="en-US" sz="2000" b="1" i="0" u="none" strike="noStrike">
              <a:solidFill>
                <a:srgbClr val="000000"/>
              </a:solidFill>
              <a:latin typeface="Calibri"/>
              <a:ea typeface="Calibri"/>
              <a:cs typeface="Calibri"/>
            </a:rPr>
            <a:pPr algn="ctr"/>
            <a:t>223733</a:t>
          </a:fld>
          <a:endParaRPr lang="en-IN" sz="2000" b="1"/>
        </a:p>
      </xdr:txBody>
    </xdr:sp>
    <xdr:clientData/>
  </xdr:twoCellAnchor>
  <xdr:twoCellAnchor>
    <xdr:from>
      <xdr:col>18</xdr:col>
      <xdr:colOff>241934</xdr:colOff>
      <xdr:row>1</xdr:row>
      <xdr:rowOff>152400</xdr:rowOff>
    </xdr:from>
    <xdr:to>
      <xdr:col>20</xdr:col>
      <xdr:colOff>365760</xdr:colOff>
      <xdr:row>3</xdr:row>
      <xdr:rowOff>98108</xdr:rowOff>
    </xdr:to>
    <xdr:sp macro="" textlink="KPI!L7">
      <xdr:nvSpPr>
        <xdr:cNvPr id="6" name="TextBox 5">
          <a:extLst>
            <a:ext uri="{FF2B5EF4-FFF2-40B4-BE49-F238E27FC236}">
              <a16:creationId xmlns:a16="http://schemas.microsoft.com/office/drawing/2014/main" id="{A766C8D7-FC58-2E73-94F3-D878525739E4}"/>
            </a:ext>
          </a:extLst>
        </xdr:cNvPr>
        <xdr:cNvSpPr txBox="1"/>
      </xdr:nvSpPr>
      <xdr:spPr>
        <a:xfrm>
          <a:off x="11214734" y="335280"/>
          <a:ext cx="1343026" cy="3114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EC42F4-671D-4E8E-85B7-4D2C233998CA}" type="TxLink">
            <a:rPr lang="en-US" sz="2000" b="1" i="0" u="none" strike="noStrike">
              <a:solidFill>
                <a:srgbClr val="000000"/>
              </a:solidFill>
              <a:latin typeface="Calibri"/>
              <a:ea typeface="Calibri"/>
              <a:cs typeface="Calibri"/>
            </a:rPr>
            <a:t>24698%</a:t>
          </a:fld>
          <a:endParaRPr lang="en-IN" sz="2000" b="1"/>
        </a:p>
      </xdr:txBody>
    </xdr:sp>
    <xdr:clientData/>
  </xdr:twoCellAnchor>
  <xdr:twoCellAnchor>
    <xdr:from>
      <xdr:col>15</xdr:col>
      <xdr:colOff>76200</xdr:colOff>
      <xdr:row>0</xdr:row>
      <xdr:rowOff>76200</xdr:rowOff>
    </xdr:from>
    <xdr:to>
      <xdr:col>17</xdr:col>
      <xdr:colOff>289560</xdr:colOff>
      <xdr:row>1</xdr:row>
      <xdr:rowOff>167640</xdr:rowOff>
    </xdr:to>
    <xdr:sp macro="" textlink="">
      <xdr:nvSpPr>
        <xdr:cNvPr id="16" name="TextBox 15">
          <a:extLst>
            <a:ext uri="{FF2B5EF4-FFF2-40B4-BE49-F238E27FC236}">
              <a16:creationId xmlns:a16="http://schemas.microsoft.com/office/drawing/2014/main" id="{2A0C7FAB-6D9E-81BC-B709-F4126D19AD31}"/>
            </a:ext>
          </a:extLst>
        </xdr:cNvPr>
        <xdr:cNvSpPr txBox="1"/>
      </xdr:nvSpPr>
      <xdr:spPr>
        <a:xfrm>
          <a:off x="9220200" y="76200"/>
          <a:ext cx="1432560" cy="274320"/>
        </a:xfrm>
        <a:prstGeom prst="rect">
          <a:avLst/>
        </a:prstGeom>
        <a:gradFill>
          <a:gsLst>
            <a:gs pos="58000">
              <a:srgbClr val="1177AF"/>
            </a:gs>
            <a:gs pos="100000">
              <a:schemeClr val="accent4">
                <a:shade val="94000"/>
                <a:satMod val="135000"/>
              </a:schemeClr>
            </a:gs>
          </a:gsLst>
          <a:lin ang="16200000" scaled="0"/>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a:t>
          </a:r>
          <a:r>
            <a:rPr lang="en-IN" sz="1400" b="1" baseline="0"/>
            <a:t> SALE</a:t>
          </a:r>
          <a:endParaRPr lang="en-IN" sz="1400" b="1"/>
        </a:p>
      </xdr:txBody>
    </xdr:sp>
    <xdr:clientData/>
  </xdr:twoCellAnchor>
  <xdr:oneCellAnchor>
    <xdr:from>
      <xdr:col>18</xdr:col>
      <xdr:colOff>152400</xdr:colOff>
      <xdr:row>0</xdr:row>
      <xdr:rowOff>68580</xdr:rowOff>
    </xdr:from>
    <xdr:ext cx="1562100" cy="311496"/>
    <xdr:sp macro="" textlink="">
      <xdr:nvSpPr>
        <xdr:cNvPr id="19" name="TextBox 18">
          <a:extLst>
            <a:ext uri="{FF2B5EF4-FFF2-40B4-BE49-F238E27FC236}">
              <a16:creationId xmlns:a16="http://schemas.microsoft.com/office/drawing/2014/main" id="{A1FA194A-E8DF-FE42-CEB0-3B074EE9CE03}"/>
            </a:ext>
          </a:extLst>
        </xdr:cNvPr>
        <xdr:cNvSpPr txBox="1"/>
      </xdr:nvSpPr>
      <xdr:spPr>
        <a:xfrm>
          <a:off x="11125200" y="68580"/>
          <a:ext cx="1562100" cy="311496"/>
        </a:xfrm>
        <a:prstGeom prst="rect">
          <a:avLst/>
        </a:prstGeom>
        <a:solidFill>
          <a:srgbClr val="1177A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b="1"/>
            <a:t>TOTAL PROFIT</a:t>
          </a:r>
        </a:p>
      </xdr:txBody>
    </xdr:sp>
    <xdr:clientData/>
  </xdr:oneCellAnchor>
  <xdr:twoCellAnchor>
    <xdr:from>
      <xdr:col>12</xdr:col>
      <xdr:colOff>137160</xdr:colOff>
      <xdr:row>0</xdr:row>
      <xdr:rowOff>76200</xdr:rowOff>
    </xdr:from>
    <xdr:to>
      <xdr:col>14</xdr:col>
      <xdr:colOff>350520</xdr:colOff>
      <xdr:row>1</xdr:row>
      <xdr:rowOff>167640</xdr:rowOff>
    </xdr:to>
    <xdr:sp macro="" textlink="">
      <xdr:nvSpPr>
        <xdr:cNvPr id="20" name="TextBox 19">
          <a:extLst>
            <a:ext uri="{FF2B5EF4-FFF2-40B4-BE49-F238E27FC236}">
              <a16:creationId xmlns:a16="http://schemas.microsoft.com/office/drawing/2014/main" id="{565F2B3F-1758-5237-2E4B-E41A7C127E90}"/>
            </a:ext>
          </a:extLst>
        </xdr:cNvPr>
        <xdr:cNvSpPr txBox="1"/>
      </xdr:nvSpPr>
      <xdr:spPr>
        <a:xfrm>
          <a:off x="7452360" y="76200"/>
          <a:ext cx="1432560" cy="274320"/>
        </a:xfrm>
        <a:prstGeom prst="rect">
          <a:avLst/>
        </a:prstGeom>
        <a:gradFill>
          <a:gsLst>
            <a:gs pos="58000">
              <a:srgbClr val="1177AF"/>
            </a:gs>
            <a:gs pos="100000">
              <a:schemeClr val="accent4">
                <a:shade val="94000"/>
                <a:satMod val="135000"/>
              </a:schemeClr>
            </a:gs>
          </a:gsLst>
          <a:lin ang="16200000" scaled="0"/>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a:t>
          </a:r>
          <a:r>
            <a:rPr lang="en-IN" sz="1400" b="1" baseline="0"/>
            <a:t> ORDER</a:t>
          </a:r>
        </a:p>
        <a:p>
          <a:pPr algn="ctr"/>
          <a:endParaRPr lang="en-IN" sz="1400" b="1"/>
        </a:p>
      </xdr:txBody>
    </xdr:sp>
    <xdr:clientData/>
  </xdr:twoCellAnchor>
  <xdr:twoCellAnchor>
    <xdr:from>
      <xdr:col>12</xdr:col>
      <xdr:colOff>226695</xdr:colOff>
      <xdr:row>1</xdr:row>
      <xdr:rowOff>175259</xdr:rowOff>
    </xdr:from>
    <xdr:to>
      <xdr:col>14</xdr:col>
      <xdr:colOff>312420</xdr:colOff>
      <xdr:row>3</xdr:row>
      <xdr:rowOff>113346</xdr:rowOff>
    </xdr:to>
    <xdr:sp macro="" textlink="KPI!N5">
      <xdr:nvSpPr>
        <xdr:cNvPr id="21" name="TextBox 20">
          <a:extLst>
            <a:ext uri="{FF2B5EF4-FFF2-40B4-BE49-F238E27FC236}">
              <a16:creationId xmlns:a16="http://schemas.microsoft.com/office/drawing/2014/main" id="{5B7E3CF5-23D2-475E-6A72-B20D4ED66255}"/>
            </a:ext>
          </a:extLst>
        </xdr:cNvPr>
        <xdr:cNvSpPr txBox="1"/>
      </xdr:nvSpPr>
      <xdr:spPr>
        <a:xfrm>
          <a:off x="7541895" y="358139"/>
          <a:ext cx="1304925" cy="3038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4678777-FF54-4F26-8B7C-420414A47500}" type="TxLink">
            <a:rPr lang="en-US" sz="2000" b="1" i="0" u="none" strike="noStrike">
              <a:solidFill>
                <a:srgbClr val="000000"/>
              </a:solidFill>
              <a:latin typeface="Calibri"/>
              <a:ea typeface="Calibri"/>
              <a:cs typeface="Calibri"/>
            </a:rPr>
            <a:pPr marL="0" indent="0" algn="ctr"/>
            <a:t>455</a:t>
          </a:fld>
          <a:endParaRPr lang="en-IN" sz="2000" b="1" i="0" u="none" strike="noStrike">
            <a:solidFill>
              <a:srgbClr val="000000"/>
            </a:solidFill>
            <a:latin typeface="Calibri"/>
            <a:ea typeface="Calibri"/>
            <a:cs typeface="Calibri"/>
          </a:endParaRPr>
        </a:p>
      </xdr:txBody>
    </xdr:sp>
    <xdr:clientData/>
  </xdr:twoCellAnchor>
  <xdr:twoCellAnchor>
    <xdr:from>
      <xdr:col>7</xdr:col>
      <xdr:colOff>106232</xdr:colOff>
      <xdr:row>15</xdr:row>
      <xdr:rowOff>45720</xdr:rowOff>
    </xdr:from>
    <xdr:to>
      <xdr:col>9</xdr:col>
      <xdr:colOff>517712</xdr:colOff>
      <xdr:row>18</xdr:row>
      <xdr:rowOff>137160</xdr:rowOff>
    </xdr:to>
    <xdr:sp macro="" textlink="">
      <xdr:nvSpPr>
        <xdr:cNvPr id="22" name="Rectangle 21">
          <a:hlinkClick xmlns:r="http://schemas.openxmlformats.org/officeDocument/2006/relationships" r:id="rId4"/>
          <a:extLst>
            <a:ext uri="{FF2B5EF4-FFF2-40B4-BE49-F238E27FC236}">
              <a16:creationId xmlns:a16="http://schemas.microsoft.com/office/drawing/2014/main" id="{213630B3-936F-0803-8EEA-D1AF6EB8AA6E}"/>
            </a:ext>
          </a:extLst>
        </xdr:cNvPr>
        <xdr:cNvSpPr/>
      </xdr:nvSpPr>
      <xdr:spPr>
        <a:xfrm>
          <a:off x="4373432" y="2735132"/>
          <a:ext cx="1630680" cy="62932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rPr>
            <a:t>DATA</a:t>
          </a:r>
        </a:p>
      </xdr:txBody>
    </xdr:sp>
    <xdr:clientData/>
  </xdr:twoCellAnchor>
  <xdr:twoCellAnchor>
    <xdr:from>
      <xdr:col>7</xdr:col>
      <xdr:colOff>135367</xdr:colOff>
      <xdr:row>19</xdr:row>
      <xdr:rowOff>91440</xdr:rowOff>
    </xdr:from>
    <xdr:to>
      <xdr:col>9</xdr:col>
      <xdr:colOff>531607</xdr:colOff>
      <xdr:row>22</xdr:row>
      <xdr:rowOff>152400</xdr:rowOff>
    </xdr:to>
    <xdr:sp macro="" textlink="">
      <xdr:nvSpPr>
        <xdr:cNvPr id="23" name="Rectangle 22">
          <a:hlinkClick xmlns:r="http://schemas.openxmlformats.org/officeDocument/2006/relationships" r:id="rId5"/>
          <a:extLst>
            <a:ext uri="{FF2B5EF4-FFF2-40B4-BE49-F238E27FC236}">
              <a16:creationId xmlns:a16="http://schemas.microsoft.com/office/drawing/2014/main" id="{B78B56AF-E5D9-E5BB-0429-3F6A22155351}"/>
            </a:ext>
          </a:extLst>
        </xdr:cNvPr>
        <xdr:cNvSpPr/>
      </xdr:nvSpPr>
      <xdr:spPr>
        <a:xfrm>
          <a:off x="4402567" y="3498028"/>
          <a:ext cx="1615440" cy="5988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2000" b="1">
              <a:solidFill>
                <a:schemeClr val="tx1"/>
              </a:solidFill>
              <a:latin typeface="+mn-lt"/>
              <a:ea typeface="+mn-ea"/>
              <a:cs typeface="+mn-cs"/>
            </a:rPr>
            <a:t>KPI</a:t>
          </a:r>
        </a:p>
      </xdr:txBody>
    </xdr:sp>
    <xdr:clientData/>
  </xdr:twoCellAnchor>
  <xdr:twoCellAnchor>
    <xdr:from>
      <xdr:col>0</xdr:col>
      <xdr:colOff>164030</xdr:colOff>
      <xdr:row>5</xdr:row>
      <xdr:rowOff>0</xdr:rowOff>
    </xdr:from>
    <xdr:to>
      <xdr:col>6</xdr:col>
      <xdr:colOff>582706</xdr:colOff>
      <xdr:row>25</xdr:row>
      <xdr:rowOff>62753</xdr:rowOff>
    </xdr:to>
    <xdr:graphicFrame macro="">
      <xdr:nvGraphicFramePr>
        <xdr:cNvPr id="24" name="Chart 23">
          <a:extLst>
            <a:ext uri="{FF2B5EF4-FFF2-40B4-BE49-F238E27FC236}">
              <a16:creationId xmlns:a16="http://schemas.microsoft.com/office/drawing/2014/main" id="{21155592-96D5-4B1B-9517-C8AAA9928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ni K" refreshedDate="46194.902011574071" backgroundQuery="1" createdVersion="8" refreshedVersion="8" minRefreshableVersion="3" recordCount="0" supportSubquery="1" supportAdvancedDrill="1" xr:uid="{010AB58A-59AB-4DF2-87E6-32CCB97E8141}">
  <cacheSource type="external" connectionId="2"/>
  <cacheFields count="4">
    <cacheField name="[Measures].[Sum of Profit]" caption="Sum of Profit" numFmtId="0" hierarchy="15" level="32767"/>
    <cacheField name="[SalesData].[Sub_Category].[Sub_Category]" caption="Sub_Category" numFmtId="0" hierarchy="4" level="1">
      <sharedItems count="3">
        <s v="Binders"/>
        <s v="Paper"/>
        <s v="Storage"/>
      </sharedItems>
    </cacheField>
    <cacheField name="[SalesData].[Category].[Category]" caption="Category" numFmtId="0" hierarchy="3" level="1">
      <sharedItems containsSemiMixedTypes="0" containsNonDate="0" containsString="0"/>
    </cacheField>
    <cacheField name="[SalesData].[Region].[Region]" caption="Region" numFmtId="0" hierarchy="2" level="1">
      <sharedItems containsSemiMixedTypes="0" containsNonDate="0" containsString="0"/>
    </cacheField>
  </cacheFields>
  <cacheHierarchies count="19">
    <cacheHierarchy uniqueName="[SalesData].[Order_ID]" caption="Order_ID" attribute="1" defaultMemberUniqueName="[SalesData].[Order_ID].[All]" allUniqueName="[SalesData].[Order_ID].[All]" dimensionUniqueName="[SalesData]" displayFolder="" count="0" memberValueDatatype="130" unbalanced="0"/>
    <cacheHierarchy uniqueName="[SalesData].[Order_Date]" caption="Order_Date" attribute="1" time="1" defaultMemberUniqueName="[SalesData].[Order_Date].[All]" allUniqueName="[SalesData].[Order_Date].[All]" dimensionUniqueName="[SalesData]" displayFolder="" count="0" memberValueDatatype="7"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3"/>
      </fieldsUsage>
    </cacheHierarchy>
    <cacheHierarchy uniqueName="[SalesData].[Category]" caption="Category" attribute="1" defaultMemberUniqueName="[SalesData].[Category].[All]" allUniqueName="[SalesData].[Category].[All]" dimensionUniqueName="[SalesData]" displayFolder="" count="2" memberValueDatatype="130" unbalanced="0">
      <fieldsUsage count="2">
        <fieldUsage x="-1"/>
        <fieldUsage x="2"/>
      </fieldsUsage>
    </cacheHierarchy>
    <cacheHierarchy uniqueName="[SalesData].[Sub_Category]" caption="Sub_Category" attribute="1" defaultMemberUniqueName="[SalesData].[Sub_Category].[All]" allUniqueName="[SalesData].[Sub_Category].[All]" dimensionUniqueName="[SalesData]" displayFolder="" count="2" memberValueDatatype="130" unbalanced="0">
      <fieldsUsage count="2">
        <fieldUsage x="-1"/>
        <fieldUsage x="1"/>
      </fieldsUsage>
    </cacheHierarchy>
    <cacheHierarchy uniqueName="[SalesData].[Customer]" caption="Customer" attribute="1" defaultMemberUniqueName="[SalesData].[Customer].[All]" allUniqueName="[SalesData].[Customer].[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SalesData].[Order_Date (Year)]" caption="Order_Date (Year)" attribute="1" defaultMemberUniqueName="[SalesData].[Order_Date (Year)].[All]" allUniqueName="[SalesData].[Order_Date (Year)].[All]" dimensionUniqueName="[SalesData]" displayFolder="" count="0" memberValueDatatype="130" unbalanced="0"/>
    <cacheHierarchy uniqueName="[SalesData].[Order_Date (Quarter)]" caption="Order_Date (Quarter)" attribute="1" defaultMemberUniqueName="[SalesData].[Order_Date (Quarter)].[All]" allUniqueName="[SalesData].[Order_Date (Quarter)].[All]" dimensionUniqueName="[SalesData]" displayFolder="" count="0" memberValueDatatype="130" unbalanced="0"/>
    <cacheHierarchy uniqueName="[SalesData].[Order_Date (Month)]" caption="Order_Date (Month)" attribute="1" defaultMemberUniqueName="[SalesData].[Order_Date (Month)].[All]" allUniqueName="[SalesData].[Order_Date (Month)].[All]" dimensionUniqueName="[SalesData]" displayFolder="" count="0" memberValueDatatype="130" unbalanced="0"/>
    <cacheHierarchy uniqueName="[SalesData].[Order_Date (Month Index)]" caption="Order_Date (Month Index)" attribute="1" defaultMemberUniqueName="[SalesData].[Order_Date (Month Index)].[All]" allUniqueName="[SalesData].[Order_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Profit]" caption="Sum of Profit" measure="1" displayFolder="" measureGroup="SalesData"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Sales]" caption="Sum of Sales" measure="1" displayFolder="" measureGroup="SalesData" count="0" hidden="1">
      <extLst>
        <ext xmlns:x15="http://schemas.microsoft.com/office/spreadsheetml/2010/11/main" uri="{B97F6D7D-B522-45F9-BDA1-12C45D357490}">
          <x15:cacheHierarchy aggregatedColumn="6"/>
        </ext>
      </extLst>
    </cacheHierarchy>
    <cacheHierarchy uniqueName="[Measures].[Average of Profit]" caption="Average of Profit" measure="1" displayFolder="" measureGroup="SalesData"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SalesData"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ni K" refreshedDate="46194.902012152779" backgroundQuery="1" createdVersion="8" refreshedVersion="8" minRefreshableVersion="3" recordCount="0" supportSubquery="1" supportAdvancedDrill="1" xr:uid="{6415B536-139A-4BF6-BB44-B2A3A77559CE}">
  <cacheSource type="external" connectionId="2"/>
  <cacheFields count="4">
    <cacheField name="[SalesData].[Sub_Category].[Sub_Category]" caption="Sub_Category" numFmtId="0" hierarchy="4" level="1">
      <sharedItems count="3">
        <s v="Binders"/>
        <s v="Paper"/>
        <s v="Storage"/>
      </sharedItems>
    </cacheField>
    <cacheField name="[Measures].[Sum of Sales]" caption="Sum of Sales" numFmtId="0" hierarchy="16" level="32767"/>
    <cacheField name="[SalesData].[Category].[Category]" caption="Category" numFmtId="0" hierarchy="3" level="1">
      <sharedItems containsSemiMixedTypes="0" containsNonDate="0" containsString="0"/>
    </cacheField>
    <cacheField name="[SalesData].[Region].[Region]" caption="Region" numFmtId="0" hierarchy="2" level="1">
      <sharedItems containsSemiMixedTypes="0" containsNonDate="0" containsString="0"/>
    </cacheField>
  </cacheFields>
  <cacheHierarchies count="19">
    <cacheHierarchy uniqueName="[SalesData].[Order_ID]" caption="Order_ID" attribute="1" defaultMemberUniqueName="[SalesData].[Order_ID].[All]" allUniqueName="[SalesData].[Order_ID].[All]" dimensionUniqueName="[SalesData]" displayFolder="" count="0" memberValueDatatype="130" unbalanced="0"/>
    <cacheHierarchy uniqueName="[SalesData].[Order_Date]" caption="Order_Date" attribute="1" time="1" defaultMemberUniqueName="[SalesData].[Order_Date].[All]" allUniqueName="[SalesData].[Order_Date].[All]" dimensionUniqueName="[SalesData]" displayFolder="" count="0" memberValueDatatype="7"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3"/>
      </fieldsUsage>
    </cacheHierarchy>
    <cacheHierarchy uniqueName="[SalesData].[Category]" caption="Category" attribute="1" defaultMemberUniqueName="[SalesData].[Category].[All]" allUniqueName="[SalesData].[Category].[All]" dimensionUniqueName="[SalesData]" displayFolder="" count="2" memberValueDatatype="130" unbalanced="0">
      <fieldsUsage count="2">
        <fieldUsage x="-1"/>
        <fieldUsage x="2"/>
      </fieldsUsage>
    </cacheHierarchy>
    <cacheHierarchy uniqueName="[SalesData].[Sub_Category]" caption="Sub_Category" attribute="1" defaultMemberUniqueName="[SalesData].[Sub_Category].[All]" allUniqueName="[SalesData].[Sub_Category].[All]" dimensionUniqueName="[SalesData]" displayFolder="" count="2" memberValueDatatype="130" unbalanced="0">
      <fieldsUsage count="2">
        <fieldUsage x="-1"/>
        <fieldUsage x="0"/>
      </fieldsUsage>
    </cacheHierarchy>
    <cacheHierarchy uniqueName="[SalesData].[Customer]" caption="Customer" attribute="1" defaultMemberUniqueName="[SalesData].[Customer].[All]" allUniqueName="[SalesData].[Customer].[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SalesData].[Order_Date (Year)]" caption="Order_Date (Year)" attribute="1" defaultMemberUniqueName="[SalesData].[Order_Date (Year)].[All]" allUniqueName="[SalesData].[Order_Date (Year)].[All]" dimensionUniqueName="[SalesData]" displayFolder="" count="0" memberValueDatatype="130" unbalanced="0"/>
    <cacheHierarchy uniqueName="[SalesData].[Order_Date (Quarter)]" caption="Order_Date (Quarter)" attribute="1" defaultMemberUniqueName="[SalesData].[Order_Date (Quarter)].[All]" allUniqueName="[SalesData].[Order_Date (Quarter)].[All]" dimensionUniqueName="[SalesData]" displayFolder="" count="0" memberValueDatatype="130" unbalanced="0"/>
    <cacheHierarchy uniqueName="[SalesData].[Order_Date (Month)]" caption="Order_Date (Month)" attribute="1" defaultMemberUniqueName="[SalesData].[Order_Date (Month)].[All]" allUniqueName="[SalesData].[Order_Date (Month)].[All]" dimensionUniqueName="[SalesData]" displayFolder="" count="0" memberValueDatatype="130" unbalanced="0"/>
    <cacheHierarchy uniqueName="[SalesData].[Order_Date (Month Index)]" caption="Order_Date (Month Index)" attribute="1" defaultMemberUniqueName="[SalesData].[Order_Date (Month Index)].[All]" allUniqueName="[SalesData].[Order_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Profit]" caption="Sum of Profit" measure="1" displayFolder="" measureGroup="SalesData" count="0" hidden="1">
      <extLst>
        <ext xmlns:x15="http://schemas.microsoft.com/office/spreadsheetml/2010/11/main" uri="{B97F6D7D-B522-45F9-BDA1-12C45D357490}">
          <x15:cacheHierarchy aggregatedColumn="8"/>
        </ext>
      </extLst>
    </cacheHierarchy>
    <cacheHierarchy uniqueName="[Measures].[Sum of Sales]" caption="Sum of Sales" measure="1" displayFolder="" measureGroup="SalesData" count="0" oneField="1" hidden="1">
      <fieldsUsage count="1">
        <fieldUsage x="1"/>
      </fieldsUsage>
      <extLst>
        <ext xmlns:x15="http://schemas.microsoft.com/office/spreadsheetml/2010/11/main" uri="{B97F6D7D-B522-45F9-BDA1-12C45D357490}">
          <x15:cacheHierarchy aggregatedColumn="6"/>
        </ext>
      </extLst>
    </cacheHierarchy>
    <cacheHierarchy uniqueName="[Measures].[Average of Profit]" caption="Average of Profit" measure="1" displayFolder="" measureGroup="SalesData"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SalesData"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ni K" refreshedDate="46194.902012962964" backgroundQuery="1" createdVersion="8" refreshedVersion="8" minRefreshableVersion="3" recordCount="0" supportSubquery="1" supportAdvancedDrill="1" xr:uid="{BA7744E0-D18E-43E5-9956-00C90A683D19}">
  <cacheSource type="external" connectionId="2"/>
  <cacheFields count="4">
    <cacheField name="[SalesData].[Order_Date (Month)].[Order_Date (Month)]" caption="Order_Date (Month)" numFmtId="0" hierarchy="11" level="1">
      <sharedItems count="12">
        <s v="Jan"/>
        <s v="Feb"/>
        <s v="Mar"/>
        <s v="Apr"/>
        <s v="May"/>
        <s v="Jun"/>
        <s v="Jul"/>
        <s v="Aug"/>
        <s v="Sep"/>
        <s v="Oct"/>
        <s v="Nov"/>
        <s v="Dec"/>
      </sharedItems>
    </cacheField>
    <cacheField name="[Measures].[Sum of Sales]" caption="Sum of Sales" numFmtId="0" hierarchy="16" level="32767"/>
    <cacheField name="[SalesData].[Category].[Category]" caption="Category" numFmtId="0" hierarchy="3" level="1">
      <sharedItems containsSemiMixedTypes="0" containsNonDate="0" containsString="0"/>
    </cacheField>
    <cacheField name="[SalesData].[Region].[Region]" caption="Region" numFmtId="0" hierarchy="2" level="1">
      <sharedItems containsSemiMixedTypes="0" containsNonDate="0" containsString="0"/>
    </cacheField>
  </cacheFields>
  <cacheHierarchies count="19">
    <cacheHierarchy uniqueName="[SalesData].[Order_ID]" caption="Order_ID" attribute="1" defaultMemberUniqueName="[SalesData].[Order_ID].[All]" allUniqueName="[SalesData].[Order_ID].[All]" dimensionUniqueName="[SalesData]" displayFolder="" count="0" memberValueDatatype="130" unbalanced="0"/>
    <cacheHierarchy uniqueName="[SalesData].[Order_Date]" caption="Order_Date" attribute="1" time="1" defaultMemberUniqueName="[SalesData].[Order_Date].[All]" allUniqueName="[SalesData].[Order_Date].[All]" dimensionUniqueName="[SalesData]" displayFolder="" count="0" memberValueDatatype="7"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3"/>
      </fieldsUsage>
    </cacheHierarchy>
    <cacheHierarchy uniqueName="[SalesData].[Category]" caption="Category" attribute="1" defaultMemberUniqueName="[SalesData].[Category].[All]" allUniqueName="[SalesData].[Category].[All]" dimensionUniqueName="[SalesData]" displayFolder="" count="2" memberValueDatatype="130" unbalanced="0">
      <fieldsUsage count="2">
        <fieldUsage x="-1"/>
        <fieldUsage x="2"/>
      </fieldsUsage>
    </cacheHierarchy>
    <cacheHierarchy uniqueName="[SalesData].[Sub_Category]" caption="Sub_Category" attribute="1" defaultMemberUniqueName="[SalesData].[Sub_Category].[All]" allUniqueName="[SalesData].[Sub_Category].[All]" dimensionUniqueName="[SalesData]" displayFolder="" count="0" memberValueDatatype="130" unbalanced="0"/>
    <cacheHierarchy uniqueName="[SalesData].[Customer]" caption="Customer" attribute="1" defaultMemberUniqueName="[SalesData].[Customer].[All]" allUniqueName="[SalesData].[Customer].[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SalesData].[Order_Date (Year)]" caption="Order_Date (Year)" attribute="1" defaultMemberUniqueName="[SalesData].[Order_Date (Year)].[All]" allUniqueName="[SalesData].[Order_Date (Year)].[All]" dimensionUniqueName="[SalesData]" displayFolder="" count="0" memberValueDatatype="130" unbalanced="0"/>
    <cacheHierarchy uniqueName="[SalesData].[Order_Date (Quarter)]" caption="Order_Date (Quarter)" attribute="1" defaultMemberUniqueName="[SalesData].[Order_Date (Quarter)].[All]" allUniqueName="[SalesData].[Order_Date (Quarter)].[All]" dimensionUniqueName="[SalesData]" displayFolder="" count="0" memberValueDatatype="130" unbalanced="0"/>
    <cacheHierarchy uniqueName="[SalesData].[Order_Date (Month)]" caption="Order_Date (Month)" attribute="1" defaultMemberUniqueName="[SalesData].[Order_Date (Month)].[All]" allUniqueName="[SalesData].[Order_Date (Month)].[All]" dimensionUniqueName="[SalesData]" displayFolder="" count="2" memberValueDatatype="130" unbalanced="0">
      <fieldsUsage count="2">
        <fieldUsage x="-1"/>
        <fieldUsage x="0"/>
      </fieldsUsage>
    </cacheHierarchy>
    <cacheHierarchy uniqueName="[SalesData].[Order_Date (Month Index)]" caption="Order_Date (Month Index)" attribute="1" defaultMemberUniqueName="[SalesData].[Order_Date (Month Index)].[All]" allUniqueName="[SalesData].[Order_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Profit]" caption="Sum of Profit" measure="1" displayFolder="" measureGroup="SalesData" count="0" hidden="1">
      <extLst>
        <ext xmlns:x15="http://schemas.microsoft.com/office/spreadsheetml/2010/11/main" uri="{B97F6D7D-B522-45F9-BDA1-12C45D357490}">
          <x15:cacheHierarchy aggregatedColumn="8"/>
        </ext>
      </extLst>
    </cacheHierarchy>
    <cacheHierarchy uniqueName="[Measures].[Sum of Sales]" caption="Sum of Sales" measure="1" displayFolder="" measureGroup="SalesData" count="0" oneField="1" hidden="1">
      <fieldsUsage count="1">
        <fieldUsage x="1"/>
      </fieldsUsage>
      <extLst>
        <ext xmlns:x15="http://schemas.microsoft.com/office/spreadsheetml/2010/11/main" uri="{B97F6D7D-B522-45F9-BDA1-12C45D357490}">
          <x15:cacheHierarchy aggregatedColumn="6"/>
        </ext>
      </extLst>
    </cacheHierarchy>
    <cacheHierarchy uniqueName="[Measures].[Average of Profit]" caption="Average of Profit" measure="1" displayFolder="" measureGroup="SalesData"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SalesData"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ni K" refreshedDate="46194.902013194442" backgroundQuery="1" createdVersion="8" refreshedVersion="8" minRefreshableVersion="3" recordCount="0" supportSubquery="1" supportAdvancedDrill="1" xr:uid="{FE2B6A03-636C-4F1D-B809-15C63F51E0B3}">
  <cacheSource type="external" connectionId="2"/>
  <cacheFields count="3">
    <cacheField name="[Measures].[Sum of Sales]" caption="Sum of Sales" numFmtId="0" hierarchy="16" level="32767"/>
    <cacheField name="[SalesData].[Category].[Category]" caption="Category" numFmtId="0" hierarchy="3" level="1">
      <sharedItems containsSemiMixedTypes="0" containsNonDate="0" containsString="0"/>
    </cacheField>
    <cacheField name="[SalesData].[Region].[Region]" caption="Region" numFmtId="0" hierarchy="2" level="1">
      <sharedItems containsSemiMixedTypes="0" containsNonDate="0" containsString="0"/>
    </cacheField>
  </cacheFields>
  <cacheHierarchies count="19">
    <cacheHierarchy uniqueName="[SalesData].[Order_ID]" caption="Order_ID" attribute="1" defaultMemberUniqueName="[SalesData].[Order_ID].[All]" allUniqueName="[SalesData].[Order_ID].[All]" dimensionUniqueName="[SalesData]" displayFolder="" count="0" memberValueDatatype="130" unbalanced="0"/>
    <cacheHierarchy uniqueName="[SalesData].[Order_Date]" caption="Order_Date" attribute="1" time="1" defaultMemberUniqueName="[SalesData].[Order_Date].[All]" allUniqueName="[SalesData].[Order_Date].[All]" dimensionUniqueName="[SalesData]" displayFolder="" count="0" memberValueDatatype="7"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2"/>
      </fieldsUsage>
    </cacheHierarchy>
    <cacheHierarchy uniqueName="[SalesData].[Category]" caption="Category" attribute="1" defaultMemberUniqueName="[SalesData].[Category].[All]" allUniqueName="[SalesData].[Category].[All]" dimensionUniqueName="[SalesData]" displayFolder="" count="2" memberValueDatatype="130" unbalanced="0">
      <fieldsUsage count="2">
        <fieldUsage x="-1"/>
        <fieldUsage x="1"/>
      </fieldsUsage>
    </cacheHierarchy>
    <cacheHierarchy uniqueName="[SalesData].[Sub_Category]" caption="Sub_Category" attribute="1" defaultMemberUniqueName="[SalesData].[Sub_Category].[All]" allUniqueName="[SalesData].[Sub_Category].[All]" dimensionUniqueName="[SalesData]" displayFolder="" count="0" memberValueDatatype="130" unbalanced="0"/>
    <cacheHierarchy uniqueName="[SalesData].[Customer]" caption="Customer" attribute="1" defaultMemberUniqueName="[SalesData].[Customer].[All]" allUniqueName="[SalesData].[Customer].[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SalesData].[Order_Date (Year)]" caption="Order_Date (Year)" attribute="1" defaultMemberUniqueName="[SalesData].[Order_Date (Year)].[All]" allUniqueName="[SalesData].[Order_Date (Year)].[All]" dimensionUniqueName="[SalesData]" displayFolder="" count="0" memberValueDatatype="130" unbalanced="0"/>
    <cacheHierarchy uniqueName="[SalesData].[Order_Date (Quarter)]" caption="Order_Date (Quarter)" attribute="1" defaultMemberUniqueName="[SalesData].[Order_Date (Quarter)].[All]" allUniqueName="[SalesData].[Order_Date (Quarter)].[All]" dimensionUniqueName="[SalesData]" displayFolder="" count="0" memberValueDatatype="130" unbalanced="0"/>
    <cacheHierarchy uniqueName="[SalesData].[Order_Date (Month)]" caption="Order_Date (Month)" attribute="1" defaultMemberUniqueName="[SalesData].[Order_Date (Month)].[All]" allUniqueName="[SalesData].[Order_Date (Month)].[All]" dimensionUniqueName="[SalesData]" displayFolder="" count="0" memberValueDatatype="130" unbalanced="0"/>
    <cacheHierarchy uniqueName="[SalesData].[Order_Date (Month Index)]" caption="Order_Date (Month Index)" attribute="1" defaultMemberUniqueName="[SalesData].[Order_Date (Month Index)].[All]" allUniqueName="[SalesData].[Order_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Profit]" caption="Sum of Profit" measure="1" displayFolder="" measureGroup="SalesData" count="0" hidden="1">
      <extLst>
        <ext xmlns:x15="http://schemas.microsoft.com/office/spreadsheetml/2010/11/main" uri="{B97F6D7D-B522-45F9-BDA1-12C45D357490}">
          <x15:cacheHierarchy aggregatedColumn="8"/>
        </ext>
      </extLst>
    </cacheHierarchy>
    <cacheHierarchy uniqueName="[Measures].[Sum of Sales]" caption="Sum of Sales" measure="1" displayFolder="" measureGroup="SalesData" count="0" oneField="1" hidden="1">
      <fieldsUsage count="1">
        <fieldUsage x="0"/>
      </fieldsUsage>
      <extLst>
        <ext xmlns:x15="http://schemas.microsoft.com/office/spreadsheetml/2010/11/main" uri="{B97F6D7D-B522-45F9-BDA1-12C45D357490}">
          <x15:cacheHierarchy aggregatedColumn="6"/>
        </ext>
      </extLst>
    </cacheHierarchy>
    <cacheHierarchy uniqueName="[Measures].[Average of Profit]" caption="Average of Profit" measure="1" displayFolder="" measureGroup="SalesData"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SalesData"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ni K" refreshedDate="46194.902014120373" backgroundQuery="1" createdVersion="8" refreshedVersion="8" minRefreshableVersion="3" recordCount="0" supportSubquery="1" supportAdvancedDrill="1" xr:uid="{C3927618-DEA7-4F6E-8DC9-584EAD30E4A0}">
  <cacheSource type="external" connectionId="2"/>
  <cacheFields count="4">
    <cacheField name="[SalesData].[Order_Date (Year)].[Order_Date (Year)]" caption="Order_Date (Year)" numFmtId="0" hierarchy="9" level="1">
      <sharedItems count="2">
        <s v="2024"/>
        <s v="2025"/>
      </sharedItems>
    </cacheField>
    <cacheField name="[Measures].[Sum of Profit]" caption="Sum of Profit" numFmtId="0" hierarchy="15" level="32767"/>
    <cacheField name="[SalesData].[Category].[Category]" caption="Category" numFmtId="0" hierarchy="3" level="1">
      <sharedItems containsSemiMixedTypes="0" containsNonDate="0" containsString="0"/>
    </cacheField>
    <cacheField name="[SalesData].[Region].[Region]" caption="Region" numFmtId="0" hierarchy="2" level="1">
      <sharedItems containsSemiMixedTypes="0" containsNonDate="0" containsString="0"/>
    </cacheField>
  </cacheFields>
  <cacheHierarchies count="19">
    <cacheHierarchy uniqueName="[SalesData].[Order_ID]" caption="Order_ID" attribute="1" defaultMemberUniqueName="[SalesData].[Order_ID].[All]" allUniqueName="[SalesData].[Order_ID].[All]" dimensionUniqueName="[SalesData]" displayFolder="" count="0" memberValueDatatype="130" unbalanced="0"/>
    <cacheHierarchy uniqueName="[SalesData].[Order_Date]" caption="Order_Date" attribute="1" time="1" defaultMemberUniqueName="[SalesData].[Order_Date].[All]" allUniqueName="[SalesData].[Order_Date].[All]" dimensionUniqueName="[SalesData]" displayFolder="" count="0" memberValueDatatype="7"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3"/>
      </fieldsUsage>
    </cacheHierarchy>
    <cacheHierarchy uniqueName="[SalesData].[Category]" caption="Category" attribute="1" defaultMemberUniqueName="[SalesData].[Category].[All]" allUniqueName="[SalesData].[Category].[All]" dimensionUniqueName="[SalesData]" displayFolder="" count="2" memberValueDatatype="130" unbalanced="0">
      <fieldsUsage count="2">
        <fieldUsage x="-1"/>
        <fieldUsage x="2"/>
      </fieldsUsage>
    </cacheHierarchy>
    <cacheHierarchy uniqueName="[SalesData].[Sub_Category]" caption="Sub_Category" attribute="1" defaultMemberUniqueName="[SalesData].[Sub_Category].[All]" allUniqueName="[SalesData].[Sub_Category].[All]" dimensionUniqueName="[SalesData]" displayFolder="" count="0" memberValueDatatype="130" unbalanced="0"/>
    <cacheHierarchy uniqueName="[SalesData].[Customer]" caption="Customer" attribute="1" defaultMemberUniqueName="[SalesData].[Customer].[All]" allUniqueName="[SalesData].[Customer].[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SalesData].[Order_Date (Year)]" caption="Order_Date (Year)" attribute="1" defaultMemberUniqueName="[SalesData].[Order_Date (Year)].[All]" allUniqueName="[SalesData].[Order_Date (Year)].[All]" dimensionUniqueName="[SalesData]" displayFolder="" count="2" memberValueDatatype="130" unbalanced="0">
      <fieldsUsage count="2">
        <fieldUsage x="-1"/>
        <fieldUsage x="0"/>
      </fieldsUsage>
    </cacheHierarchy>
    <cacheHierarchy uniqueName="[SalesData].[Order_Date (Quarter)]" caption="Order_Date (Quarter)" attribute="1" defaultMemberUniqueName="[SalesData].[Order_Date (Quarter)].[All]" allUniqueName="[SalesData].[Order_Date (Quarter)].[All]" dimensionUniqueName="[SalesData]" displayFolder="" count="0" memberValueDatatype="130" unbalanced="0"/>
    <cacheHierarchy uniqueName="[SalesData].[Order_Date (Month)]" caption="Order_Date (Month)" attribute="1" defaultMemberUniqueName="[SalesData].[Order_Date (Month)].[All]" allUniqueName="[SalesData].[Order_Date (Month)].[All]" dimensionUniqueName="[SalesData]" displayFolder="" count="0" memberValueDatatype="130" unbalanced="0"/>
    <cacheHierarchy uniqueName="[SalesData].[Order_Date (Month Index)]" caption="Order_Date (Month Index)" attribute="1" defaultMemberUniqueName="[SalesData].[Order_Date (Month Index)].[All]" allUniqueName="[SalesData].[Order_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Profit]" caption="Sum of Profit" measure="1" displayFolder="" measureGroup="SalesData"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Sales]" caption="Sum of Sales" measure="1" displayFolder="" measureGroup="SalesData" count="0" hidden="1">
      <extLst>
        <ext xmlns:x15="http://schemas.microsoft.com/office/spreadsheetml/2010/11/main" uri="{B97F6D7D-B522-45F9-BDA1-12C45D357490}">
          <x15:cacheHierarchy aggregatedColumn="6"/>
        </ext>
      </extLst>
    </cacheHierarchy>
    <cacheHierarchy uniqueName="[Measures].[Average of Profit]" caption="Average of Profit" measure="1" displayFolder="" measureGroup="SalesData"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SalesData"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ni K" refreshedDate="46194.902014467596" backgroundQuery="1" createdVersion="8" refreshedVersion="8" minRefreshableVersion="3" recordCount="0" supportSubquery="1" supportAdvancedDrill="1" xr:uid="{C6EE33D2-C5D5-41F2-BB4F-31277BD7001D}">
  <cacheSource type="external" connectionId="2"/>
  <cacheFields count="3">
    <cacheField name="[Measures].[Average of Profit]" caption="Average of Profit" numFmtId="0" hierarchy="17" level="32767"/>
    <cacheField name="[SalesData].[Category].[Category]" caption="Category" numFmtId="0" hierarchy="3" level="1">
      <sharedItems containsSemiMixedTypes="0" containsNonDate="0" containsString="0"/>
    </cacheField>
    <cacheField name="[SalesData].[Region].[Region]" caption="Region" numFmtId="0" hierarchy="2" level="1">
      <sharedItems containsSemiMixedTypes="0" containsNonDate="0" containsString="0"/>
    </cacheField>
  </cacheFields>
  <cacheHierarchies count="19">
    <cacheHierarchy uniqueName="[SalesData].[Order_ID]" caption="Order_ID" attribute="1" defaultMemberUniqueName="[SalesData].[Order_ID].[All]" allUniqueName="[SalesData].[Order_ID].[All]" dimensionUniqueName="[SalesData]" displayFolder="" count="0" memberValueDatatype="130" unbalanced="0"/>
    <cacheHierarchy uniqueName="[SalesData].[Order_Date]" caption="Order_Date" attribute="1" time="1" defaultMemberUniqueName="[SalesData].[Order_Date].[All]" allUniqueName="[SalesData].[Order_Date].[All]" dimensionUniqueName="[SalesData]" displayFolder="" count="0" memberValueDatatype="7"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2"/>
      </fieldsUsage>
    </cacheHierarchy>
    <cacheHierarchy uniqueName="[SalesData].[Category]" caption="Category" attribute="1" defaultMemberUniqueName="[SalesData].[Category].[All]" allUniqueName="[SalesData].[Category].[All]" dimensionUniqueName="[SalesData]" displayFolder="" count="2" memberValueDatatype="130" unbalanced="0">
      <fieldsUsage count="2">
        <fieldUsage x="-1"/>
        <fieldUsage x="1"/>
      </fieldsUsage>
    </cacheHierarchy>
    <cacheHierarchy uniqueName="[SalesData].[Sub_Category]" caption="Sub_Category" attribute="1" defaultMemberUniqueName="[SalesData].[Sub_Category].[All]" allUniqueName="[SalesData].[Sub_Category].[All]" dimensionUniqueName="[SalesData]" displayFolder="" count="0" memberValueDatatype="130" unbalanced="0"/>
    <cacheHierarchy uniqueName="[SalesData].[Customer]" caption="Customer" attribute="1" defaultMemberUniqueName="[SalesData].[Customer].[All]" allUniqueName="[SalesData].[Customer].[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SalesData].[Order_Date (Year)]" caption="Order_Date (Year)" attribute="1" defaultMemberUniqueName="[SalesData].[Order_Date (Year)].[All]" allUniqueName="[SalesData].[Order_Date (Year)].[All]" dimensionUniqueName="[SalesData]" displayFolder="" count="0" memberValueDatatype="130" unbalanced="0"/>
    <cacheHierarchy uniqueName="[SalesData].[Order_Date (Quarter)]" caption="Order_Date (Quarter)" attribute="1" defaultMemberUniqueName="[SalesData].[Order_Date (Quarter)].[All]" allUniqueName="[SalesData].[Order_Date (Quarter)].[All]" dimensionUniqueName="[SalesData]" displayFolder="" count="0" memberValueDatatype="130" unbalanced="0"/>
    <cacheHierarchy uniqueName="[SalesData].[Order_Date (Month)]" caption="Order_Date (Month)" attribute="1" defaultMemberUniqueName="[SalesData].[Order_Date (Month)].[All]" allUniqueName="[SalesData].[Order_Date (Month)].[All]" dimensionUniqueName="[SalesData]" displayFolder="" count="0" memberValueDatatype="130" unbalanced="0"/>
    <cacheHierarchy uniqueName="[SalesData].[Order_Date (Month Index)]" caption="Order_Date (Month Index)" attribute="1" defaultMemberUniqueName="[SalesData].[Order_Date (Month Index)].[All]" allUniqueName="[SalesData].[Order_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Profit]" caption="Sum of Profit" measure="1" displayFolder="" measureGroup="SalesData" count="0" hidden="1">
      <extLst>
        <ext xmlns:x15="http://schemas.microsoft.com/office/spreadsheetml/2010/11/main" uri="{B97F6D7D-B522-45F9-BDA1-12C45D357490}">
          <x15:cacheHierarchy aggregatedColumn="8"/>
        </ext>
      </extLst>
    </cacheHierarchy>
    <cacheHierarchy uniqueName="[Measures].[Sum of Sales]" caption="Sum of Sales" measure="1" displayFolder="" measureGroup="SalesData" count="0" hidden="1">
      <extLst>
        <ext xmlns:x15="http://schemas.microsoft.com/office/spreadsheetml/2010/11/main" uri="{B97F6D7D-B522-45F9-BDA1-12C45D357490}">
          <x15:cacheHierarchy aggregatedColumn="6"/>
        </ext>
      </extLst>
    </cacheHierarchy>
    <cacheHierarchy uniqueName="[Measures].[Average of Profit]" caption="Average of Profit" measure="1" displayFolder="" measureGroup="SalesData"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Quantity]" caption="Sum of Quantity" measure="1" displayFolder="" measureGroup="SalesData"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ni K" refreshedDate="46194.902014699073" backgroundQuery="1" createdVersion="8" refreshedVersion="8" minRefreshableVersion="3" recordCount="0" supportSubquery="1" supportAdvancedDrill="1" xr:uid="{2D612D9C-CECA-41F0-9010-4BA156056F9D}">
  <cacheSource type="external" connectionId="2"/>
  <cacheFields count="3">
    <cacheField name="[Measures].[Sum of Quantity]" caption="Sum of Quantity" numFmtId="0" hierarchy="18" level="32767"/>
    <cacheField name="[SalesData].[Category].[Category]" caption="Category" numFmtId="0" hierarchy="3" level="1">
      <sharedItems containsSemiMixedTypes="0" containsNonDate="0" containsString="0"/>
    </cacheField>
    <cacheField name="[SalesData].[Region].[Region]" caption="Region" numFmtId="0" hierarchy="2" level="1">
      <sharedItems containsSemiMixedTypes="0" containsNonDate="0" containsString="0"/>
    </cacheField>
  </cacheFields>
  <cacheHierarchies count="19">
    <cacheHierarchy uniqueName="[SalesData].[Order_ID]" caption="Order_ID" attribute="1" defaultMemberUniqueName="[SalesData].[Order_ID].[All]" allUniqueName="[SalesData].[Order_ID].[All]" dimensionUniqueName="[SalesData]" displayFolder="" count="0" memberValueDatatype="130" unbalanced="0"/>
    <cacheHierarchy uniqueName="[SalesData].[Order_Date]" caption="Order_Date" attribute="1" time="1" defaultMemberUniqueName="[SalesData].[Order_Date].[All]" allUniqueName="[SalesData].[Order_Date].[All]" dimensionUniqueName="[SalesData]" displayFolder="" count="0" memberValueDatatype="7"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2"/>
      </fieldsUsage>
    </cacheHierarchy>
    <cacheHierarchy uniqueName="[SalesData].[Category]" caption="Category" attribute="1" defaultMemberUniqueName="[SalesData].[Category].[All]" allUniqueName="[SalesData].[Category].[All]" dimensionUniqueName="[SalesData]" displayFolder="" count="2" memberValueDatatype="130" unbalanced="0">
      <fieldsUsage count="2">
        <fieldUsage x="-1"/>
        <fieldUsage x="1"/>
      </fieldsUsage>
    </cacheHierarchy>
    <cacheHierarchy uniqueName="[SalesData].[Sub_Category]" caption="Sub_Category" attribute="1" defaultMemberUniqueName="[SalesData].[Sub_Category].[All]" allUniqueName="[SalesData].[Sub_Category].[All]" dimensionUniqueName="[SalesData]" displayFolder="" count="0" memberValueDatatype="130" unbalanced="0"/>
    <cacheHierarchy uniqueName="[SalesData].[Customer]" caption="Customer" attribute="1" defaultMemberUniqueName="[SalesData].[Customer].[All]" allUniqueName="[SalesData].[Customer].[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SalesData].[Order_Date (Year)]" caption="Order_Date (Year)" attribute="1" defaultMemberUniqueName="[SalesData].[Order_Date (Year)].[All]" allUniqueName="[SalesData].[Order_Date (Year)].[All]" dimensionUniqueName="[SalesData]" displayFolder="" count="0" memberValueDatatype="130" unbalanced="0"/>
    <cacheHierarchy uniqueName="[SalesData].[Order_Date (Quarter)]" caption="Order_Date (Quarter)" attribute="1" defaultMemberUniqueName="[SalesData].[Order_Date (Quarter)].[All]" allUniqueName="[SalesData].[Order_Date (Quarter)].[All]" dimensionUniqueName="[SalesData]" displayFolder="" count="0" memberValueDatatype="130" unbalanced="0"/>
    <cacheHierarchy uniqueName="[SalesData].[Order_Date (Month)]" caption="Order_Date (Month)" attribute="1" defaultMemberUniqueName="[SalesData].[Order_Date (Month)].[All]" allUniqueName="[SalesData].[Order_Date (Month)].[All]" dimensionUniqueName="[SalesData]" displayFolder="" count="0" memberValueDatatype="130" unbalanced="0"/>
    <cacheHierarchy uniqueName="[SalesData].[Order_Date (Month Index)]" caption="Order_Date (Month Index)" attribute="1" defaultMemberUniqueName="[SalesData].[Order_Date (Month Index)].[All]" allUniqueName="[SalesData].[Order_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Profit]" caption="Sum of Profit" measure="1" displayFolder="" measureGroup="SalesData" count="0" hidden="1">
      <extLst>
        <ext xmlns:x15="http://schemas.microsoft.com/office/spreadsheetml/2010/11/main" uri="{B97F6D7D-B522-45F9-BDA1-12C45D357490}">
          <x15:cacheHierarchy aggregatedColumn="8"/>
        </ext>
      </extLst>
    </cacheHierarchy>
    <cacheHierarchy uniqueName="[Measures].[Sum of Sales]" caption="Sum of Sales" measure="1" displayFolder="" measureGroup="SalesData" count="0" hidden="1">
      <extLst>
        <ext xmlns:x15="http://schemas.microsoft.com/office/spreadsheetml/2010/11/main" uri="{B97F6D7D-B522-45F9-BDA1-12C45D357490}">
          <x15:cacheHierarchy aggregatedColumn="6"/>
        </ext>
      </extLst>
    </cacheHierarchy>
    <cacheHierarchy uniqueName="[Measures].[Average of Profit]" caption="Average of Profit" measure="1" displayFolder="" measureGroup="SalesData"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SalesData"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ni K" refreshedDate="46193.954296643518" backgroundQuery="1" createdVersion="3" refreshedVersion="8" minRefreshableVersion="3" recordCount="0" supportSubquery="1" supportAdvancedDrill="1" xr:uid="{709758D9-DAFB-49D8-AD1F-1B57F58143C4}">
  <cacheSource type="external" connectionId="2">
    <extLst>
      <ext xmlns:x14="http://schemas.microsoft.com/office/spreadsheetml/2009/9/main" uri="{F057638F-6D5F-4e77-A914-E7F072B9BCA8}">
        <x14:sourceConnection name="ThisWorkbookDataModel"/>
      </ext>
    </extLst>
  </cacheSource>
  <cacheFields count="0"/>
  <cacheHierarchies count="17">
    <cacheHierarchy uniqueName="[SalesData].[Order_ID]" caption="Order_ID" attribute="1" defaultMemberUniqueName="[SalesData].[Order_ID].[All]" allUniqueName="[SalesData].[Order_ID].[All]" dimensionUniqueName="[SalesData]" displayFolder="" count="0" memberValueDatatype="130" unbalanced="0"/>
    <cacheHierarchy uniqueName="[SalesData].[Order_Date]" caption="Order_Date" attribute="1" time="1" defaultMemberUniqueName="[SalesData].[Order_Date].[All]" allUniqueName="[SalesData].[Order_Date].[All]" dimensionUniqueName="[SalesData]" displayFolder="" count="0" memberValueDatatype="7" unbalanced="0"/>
    <cacheHierarchy uniqueName="[SalesData].[Region]" caption="Region" attribute="1" defaultMemberUniqueName="[SalesData].[Region].[All]" allUniqueName="[SalesData].[Region].[All]" dimensionUniqueName="[SalesData]" displayFolder="" count="2"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_Category]" caption="Sub_Category" attribute="1" defaultMemberUniqueName="[SalesData].[Sub_Category].[All]" allUniqueName="[SalesData].[Sub_Category].[All]" dimensionUniqueName="[SalesData]" displayFolder="" count="0" memberValueDatatype="130" unbalanced="0"/>
    <cacheHierarchy uniqueName="[SalesData].[Customer]" caption="Customer" attribute="1" defaultMemberUniqueName="[SalesData].[Customer].[All]" allUniqueName="[SalesData].[Customer].[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SalesData].[Order_Date (Year)]" caption="Order_Date (Year)" attribute="1" defaultMemberUniqueName="[SalesData].[Order_Date (Year)].[All]" allUniqueName="[SalesData].[Order_Date (Year)].[All]" dimensionUniqueName="[SalesData]" displayFolder="" count="0" memberValueDatatype="130" unbalanced="0"/>
    <cacheHierarchy uniqueName="[SalesData].[Order_Date (Quarter)]" caption="Order_Date (Quarter)" attribute="1" defaultMemberUniqueName="[SalesData].[Order_Date (Quarter)].[All]" allUniqueName="[SalesData].[Order_Date (Quarter)].[All]" dimensionUniqueName="[SalesData]" displayFolder="" count="0" memberValueDatatype="130" unbalanced="0"/>
    <cacheHierarchy uniqueName="[SalesData].[Order_Date (Month)]" caption="Order_Date (Month)" attribute="1" defaultMemberUniqueName="[SalesData].[Order_Date (Month)].[All]" allUniqueName="[SalesData].[Order_Date (Month)].[All]" dimensionUniqueName="[SalesData]" displayFolder="" count="0" memberValueDatatype="130" unbalanced="0"/>
    <cacheHierarchy uniqueName="[SalesData].[Order_Date (Month Index)]" caption="Order_Date (Month Index)" attribute="1" defaultMemberUniqueName="[SalesData].[Order_Date (Month Index)].[All]" allUniqueName="[SalesData].[Order_Date (Month Index)].[All]" dimensionUniqueName="[SalesData]" displayFolder="" count="0" memberValueDatatype="20" unbalanced="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Profit]" caption="Sum of Profit" measure="1" displayFolder="" measureGroup="SalesData" count="0" hidden="1">
      <extLst>
        <ext xmlns:x15="http://schemas.microsoft.com/office/spreadsheetml/2010/11/main" uri="{B97F6D7D-B522-45F9-BDA1-12C45D357490}">
          <x15:cacheHierarchy aggregatedColumn="8"/>
        </ext>
      </extLst>
    </cacheHierarchy>
    <cacheHierarchy uniqueName="[Measures].[Sum of Sales]" caption="Sum of Sales" measure="1" displayFolder="" measureGroup="SalesData"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2111504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8FB2A2-7046-461B-B355-4379A1B5B125}" name="PivotTable9" cacheId="16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4:M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Quantity" fld="0" baseField="0" baseItem="0"/>
  </dataFields>
  <formats count="1">
    <format dxfId="31">
      <pivotArea outline="0" collapsedLevelsAreSubtotals="1" fieldPosition="0"/>
    </format>
  </formats>
  <pivotHierarchies count="19">
    <pivotHierarchy dragToData="1"/>
    <pivotHierarchy dragToData="1"/>
    <pivotHierarchy multipleItemSelectionAllowed="1" dragToData="1">
      <members count="1" level="1">
        <member name="[SalesData].[Region].&amp;[East]"/>
      </members>
    </pivotHierarchy>
    <pivotHierarchy multipleItemSelectionAllowed="1" dragToData="1">
      <members count="1" level="1">
        <member name="[SalesData].[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order"/>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34C72E-2E25-49AE-8CBC-79237F6F457D}" name="PivotTable1" cacheId="162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K7:K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rofit" fld="0" subtotal="average" baseField="0" baseItem="0" numFmtId="9"/>
  </dataFields>
  <formats count="1">
    <format dxfId="32">
      <pivotArea outline="0" collapsedLevelsAreSubtotals="1" fieldPosition="0"/>
    </format>
  </formats>
  <pivotHierarchies count="19">
    <pivotHierarchy dragToData="1"/>
    <pivotHierarchy dragToData="1"/>
    <pivotHierarchy multipleItemSelectionAllowed="1" dragToData="1">
      <members count="1" level="1">
        <member name="[SalesData].[Region].&amp;[East]"/>
      </members>
    </pivotHierarchy>
    <pivotHierarchy multipleItemSelectionAllowed="1" dragToData="1">
      <members count="1" level="1">
        <member name="[SalesData].[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Profi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3282F2-5B1D-45C8-ACD7-050FF0573A36}" name="Sales_subcategory" cacheId="161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SubProduct">
  <location ref="E1:F4"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x v="2"/>
    </i>
  </rowItems>
  <colItems count="1">
    <i/>
  </colItems>
  <dataFields count="1">
    <dataField name="Sum of Sales" fld="1" showDataAs="percentOfTotal" baseField="0" baseItem="0" numFmtId="1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9">
    <pivotHierarchy dragToData="1"/>
    <pivotHierarchy dragToData="1"/>
    <pivotHierarchy multipleItemSelectionAllowed="1" dragToData="1">
      <members count="1" level="1">
        <member name="[SalesData].[Region].&amp;[East]"/>
      </members>
    </pivotHierarchy>
    <pivotHierarchy multipleItemSelectionAllowed="1" dragToData="1">
      <members count="1" level="1">
        <member name="[SalesData].[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559067-69DE-4D94-98A7-799DE2ED4C0A}" name="Profit_wise_category" cacheId="16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1:B5"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 fld="0"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9">
    <pivotHierarchy dragToData="1"/>
    <pivotHierarchy dragToData="1"/>
    <pivotHierarchy multipleItemSelectionAllowed="1" dragToData="1">
      <members count="1" level="1">
        <member name="[SalesData].[Region].&amp;[East]"/>
      </members>
    </pivotHierarchy>
    <pivotHierarchy multipleItemSelectionAllowed="1" dragToData="1">
      <members count="1" level="1">
        <member name="[SalesData].[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BFCA71-D2CE-4CD8-B09B-A4073904434A}" name="PivotTable5" cacheId="16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P1:Q4"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Profit" fld="1" showDataAs="percentOfTotal" baseField="0" baseItem="0" numFmtId="10"/>
  </dataFields>
  <chartFormats count="4">
    <chartFormat chart="1"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s>
  <pivotHierarchies count="19">
    <pivotHierarchy dragToData="1"/>
    <pivotHierarchy dragToData="1"/>
    <pivotHierarchy multipleItemSelectionAllowed="1" dragToData="1">
      <members count="1" level="1">
        <member name="[SalesData].[Region].&amp;[East]"/>
      </members>
    </pivotHierarchy>
    <pivotHierarchy multipleItemSelectionAllowed="1" dragToData="1">
      <members count="1" level="1">
        <member name="[SalesData].[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ED48C1-BF95-444A-9386-04883C841582}" name="PivotTable4" cacheId="161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K4:K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Sales" fld="0" baseField="0" baseItem="0" numFmtId="1"/>
  </dataFields>
  <formats count="1">
    <format dxfId="33">
      <pivotArea outline="0" collapsedLevelsAreSubtotals="1" fieldPosition="0"/>
    </format>
  </formats>
  <pivotHierarchies count="19">
    <pivotHierarchy dragToData="1"/>
    <pivotHierarchy dragToData="1"/>
    <pivotHierarchy multipleItemSelectionAllowed="1" dragToData="1">
      <members count="1" level="1">
        <member name="[SalesData].[Region].&amp;[East]"/>
      </members>
    </pivotHierarchy>
    <pivotHierarchy multipleItemSelectionAllowed="1" dragToData="1">
      <members count="1" level="1">
        <member name="[SalesData].[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D640A9-24C3-4878-BB9E-0638C9A66E42}" name="PivotTable3" cacheId="16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1:J14"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9">
    <pivotHierarchy dragToData="1"/>
    <pivotHierarchy dragToData="1"/>
    <pivotHierarchy multipleItemSelectionAllowed="1" dragToData="1">
      <members count="1" level="1">
        <member name="[SalesData].[Region].&amp;[East]"/>
      </members>
    </pivotHierarchy>
    <pivotHierarchy multipleItemSelectionAllowed="1" dragToData="1">
      <members count="1" level="1">
        <member name="[SalesData].[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6FB157-008B-42FD-A7FD-E7805ED10B7B}" sourceName="[SalesData].[Region]">
  <pivotTables>
    <pivotTable tabId="2" name="Profit_wise_category"/>
    <pivotTable tabId="2" name="Sales_subcategory"/>
    <pivotTable tabId="2" name="PivotTable3"/>
    <pivotTable tabId="2" name="PivotTable4"/>
    <pivotTable tabId="2" name="PivotTable5"/>
    <pivotTable tabId="2" name="PivotTable1"/>
    <pivotTable tabId="2" name="PivotTable9"/>
  </pivotTables>
  <data>
    <olap pivotCacheId="1211150435">
      <levels count="2">
        <level uniqueName="[SalesData].[Region].[(All)]" sourceCaption="(All)" count="0"/>
        <level uniqueName="[SalesData].[Region].[Region]" sourceCaption="Region" count="4">
          <ranges>
            <range startItem="0">
              <i n="[SalesData].[Region].&amp;[East]" c="East"/>
              <i n="[SalesData].[Region].&amp;[North]" c="North"/>
              <i n="[SalesData].[Region].&amp;[South]" c="South"/>
              <i n="[SalesData].[Region].&amp;[West]" c="West"/>
            </range>
          </ranges>
        </level>
      </levels>
      <selections count="1">
        <selection n="[SalesData].[Region].&amp;[Ea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2745B62-7CE4-4637-B37B-61C8427BBB26}" sourceName="[SalesData].[Category]">
  <pivotTables>
    <pivotTable tabId="2" name="Sales_subcategory"/>
    <pivotTable tabId="2" name="PivotTable1"/>
    <pivotTable tabId="2" name="PivotTable3"/>
    <pivotTable tabId="2" name="PivotTable4"/>
    <pivotTable tabId="2" name="PivotTable5"/>
    <pivotTable tabId="2" name="Profit_wise_category"/>
    <pivotTable tabId="2" name="PivotTable9"/>
  </pivotTables>
  <data>
    <olap pivotCacheId="1211150435">
      <levels count="2">
        <level uniqueName="[SalesData].[Category].[(All)]" sourceCaption="(All)" count="0"/>
        <level uniqueName="[SalesData].[Category].[Category]" sourceCaption="Category" count="3">
          <ranges>
            <range startItem="0">
              <i n="[SalesData].[Category].&amp;[Furniture]" c="Furniture"/>
              <i n="[SalesData].[Category].&amp;[Office Supplies]" c="Office Supplies"/>
              <i n="[SalesData].[Category].&amp;[Technology]" c="Technology"/>
            </range>
          </ranges>
        </level>
      </levels>
      <selections count="1">
        <selection n="[SalesData].[Category].&amp;[Office Suppli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F1D58B4-1CBE-431D-BC4E-9B8D7430A851}" cache="Slicer_Region" caption="Region" level="1" rowHeight="234950"/>
  <slicer name="Category" xr10:uid="{7BF8879A-E434-4F47-9F8B-7503E981C85B}" cache="Slicer_Category" caption="Catego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CC39BBC-24DA-47F2-BABE-0B0E590D011C}" cache="Slicer_Region" caption="Region" level="1" rowHeight="234950"/>
  <slicer name="Category 1" xr10:uid="{93B86F2A-CFE6-4448-AB28-09AE2A6D67B7}" cache="Slicer_Category" caption="Catego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zoomScale="135" workbookViewId="0"/>
  </sheetViews>
  <sheetFormatPr defaultRowHeight="14.4" x14ac:dyDescent="0.3"/>
  <cols>
    <col min="1" max="1" width="9.6640625" bestFit="1" customWidth="1"/>
    <col min="2" max="2" width="10.5546875" bestFit="1" customWidth="1"/>
    <col min="3" max="3" width="6.5546875" bestFit="1" customWidth="1"/>
    <col min="4" max="4" width="13.109375" bestFit="1" customWidth="1"/>
    <col min="5" max="5" width="12.21875" bestFit="1" customWidth="1"/>
    <col min="6" max="6" width="12.88671875" bestFit="1" customWidth="1"/>
    <col min="7" max="9" width="8" bestFit="1" customWidth="1"/>
  </cols>
  <sheetData>
    <row r="1" spans="1:12" x14ac:dyDescent="0.3">
      <c r="A1" t="s">
        <v>0</v>
      </c>
      <c r="B1" t="s">
        <v>1</v>
      </c>
      <c r="C1" t="s">
        <v>2</v>
      </c>
      <c r="D1" t="s">
        <v>3</v>
      </c>
      <c r="E1" t="s">
        <v>4</v>
      </c>
      <c r="F1" t="s">
        <v>5</v>
      </c>
      <c r="G1" t="s">
        <v>6</v>
      </c>
      <c r="H1" t="s">
        <v>7</v>
      </c>
      <c r="I1" t="s">
        <v>8</v>
      </c>
    </row>
    <row r="2" spans="1:12" x14ac:dyDescent="0.3">
      <c r="A2" t="s">
        <v>9</v>
      </c>
      <c r="B2" s="1">
        <v>45843</v>
      </c>
      <c r="C2" t="s">
        <v>10</v>
      </c>
      <c r="D2" t="s">
        <v>11</v>
      </c>
      <c r="E2" t="s">
        <v>12</v>
      </c>
      <c r="F2" t="s">
        <v>13</v>
      </c>
      <c r="G2">
        <v>4963.99</v>
      </c>
      <c r="H2">
        <v>1</v>
      </c>
      <c r="I2">
        <v>959.34</v>
      </c>
    </row>
    <row r="3" spans="1:12" x14ac:dyDescent="0.3">
      <c r="A3" t="s">
        <v>14</v>
      </c>
      <c r="B3" s="1">
        <v>46021</v>
      </c>
      <c r="C3" t="s">
        <v>10</v>
      </c>
      <c r="D3" t="s">
        <v>11</v>
      </c>
      <c r="E3" t="s">
        <v>12</v>
      </c>
      <c r="F3" t="s">
        <v>15</v>
      </c>
      <c r="G3">
        <v>2088.59</v>
      </c>
      <c r="H3">
        <v>4</v>
      </c>
      <c r="I3">
        <v>555.95000000000005</v>
      </c>
      <c r="L3" t="s">
        <v>0</v>
      </c>
    </row>
    <row r="4" spans="1:12" x14ac:dyDescent="0.3">
      <c r="A4" t="s">
        <v>16</v>
      </c>
      <c r="B4" s="1">
        <v>45814</v>
      </c>
      <c r="C4" t="s">
        <v>17</v>
      </c>
      <c r="D4" t="s">
        <v>11</v>
      </c>
      <c r="E4" t="s">
        <v>18</v>
      </c>
      <c r="F4" t="s">
        <v>19</v>
      </c>
      <c r="G4">
        <v>417.17</v>
      </c>
      <c r="H4">
        <v>1</v>
      </c>
      <c r="I4">
        <v>57.32</v>
      </c>
      <c r="L4" t="s">
        <v>1</v>
      </c>
    </row>
    <row r="5" spans="1:12" x14ac:dyDescent="0.3">
      <c r="A5" t="s">
        <v>20</v>
      </c>
      <c r="B5" s="1">
        <v>45373</v>
      </c>
      <c r="C5" t="s">
        <v>17</v>
      </c>
      <c r="D5" t="s">
        <v>21</v>
      </c>
      <c r="E5" t="s">
        <v>22</v>
      </c>
      <c r="F5" t="s">
        <v>23</v>
      </c>
      <c r="G5">
        <v>642.15</v>
      </c>
      <c r="H5">
        <v>1</v>
      </c>
      <c r="I5">
        <v>63.58</v>
      </c>
      <c r="L5" t="s">
        <v>2</v>
      </c>
    </row>
    <row r="6" spans="1:12" x14ac:dyDescent="0.3">
      <c r="A6" t="s">
        <v>24</v>
      </c>
      <c r="B6" s="1">
        <v>45839</v>
      </c>
      <c r="C6" t="s">
        <v>25</v>
      </c>
      <c r="D6" t="s">
        <v>11</v>
      </c>
      <c r="E6" t="s">
        <v>18</v>
      </c>
      <c r="F6" t="s">
        <v>26</v>
      </c>
      <c r="G6">
        <v>864.03</v>
      </c>
      <c r="H6">
        <v>9</v>
      </c>
      <c r="I6">
        <v>-29.16</v>
      </c>
      <c r="L6" t="s">
        <v>3</v>
      </c>
    </row>
    <row r="7" spans="1:12" x14ac:dyDescent="0.3">
      <c r="A7" t="s">
        <v>27</v>
      </c>
      <c r="B7" s="1">
        <v>45890</v>
      </c>
      <c r="C7" t="s">
        <v>28</v>
      </c>
      <c r="D7" t="s">
        <v>21</v>
      </c>
      <c r="E7" t="s">
        <v>29</v>
      </c>
      <c r="F7" t="s">
        <v>30</v>
      </c>
      <c r="G7">
        <v>1661.32</v>
      </c>
      <c r="H7">
        <v>10</v>
      </c>
      <c r="I7">
        <v>211.33</v>
      </c>
      <c r="L7" t="s">
        <v>4</v>
      </c>
    </row>
    <row r="8" spans="1:12" x14ac:dyDescent="0.3">
      <c r="A8" t="s">
        <v>31</v>
      </c>
      <c r="B8" s="1">
        <v>45479</v>
      </c>
      <c r="C8" t="s">
        <v>10</v>
      </c>
      <c r="D8" t="s">
        <v>32</v>
      </c>
      <c r="E8" t="s">
        <v>33</v>
      </c>
      <c r="F8" t="s">
        <v>34</v>
      </c>
      <c r="G8">
        <v>2349.12</v>
      </c>
      <c r="H8">
        <v>8</v>
      </c>
      <c r="I8">
        <v>321.08999999999997</v>
      </c>
      <c r="L8" t="s">
        <v>5</v>
      </c>
    </row>
    <row r="9" spans="1:12" x14ac:dyDescent="0.3">
      <c r="A9" t="s">
        <v>35</v>
      </c>
      <c r="B9" s="1">
        <v>45736</v>
      </c>
      <c r="C9" t="s">
        <v>17</v>
      </c>
      <c r="D9" t="s">
        <v>21</v>
      </c>
      <c r="E9" t="s">
        <v>36</v>
      </c>
      <c r="F9" t="s">
        <v>37</v>
      </c>
      <c r="G9">
        <v>2674.55</v>
      </c>
      <c r="H9">
        <v>4</v>
      </c>
      <c r="I9">
        <v>492.16</v>
      </c>
      <c r="L9" t="s">
        <v>6</v>
      </c>
    </row>
    <row r="10" spans="1:12" x14ac:dyDescent="0.3">
      <c r="A10" t="s">
        <v>38</v>
      </c>
      <c r="B10" s="1">
        <v>45607</v>
      </c>
      <c r="C10" t="s">
        <v>10</v>
      </c>
      <c r="D10" t="s">
        <v>32</v>
      </c>
      <c r="E10" t="s">
        <v>39</v>
      </c>
      <c r="F10" t="s">
        <v>40</v>
      </c>
      <c r="G10">
        <v>4409.38</v>
      </c>
      <c r="H10">
        <v>7</v>
      </c>
      <c r="I10">
        <v>-38.26</v>
      </c>
      <c r="L10" t="s">
        <v>7</v>
      </c>
    </row>
    <row r="11" spans="1:12" x14ac:dyDescent="0.3">
      <c r="A11" t="s">
        <v>41</v>
      </c>
      <c r="B11" s="1">
        <v>45972</v>
      </c>
      <c r="C11" t="s">
        <v>17</v>
      </c>
      <c r="D11" t="s">
        <v>21</v>
      </c>
      <c r="E11" t="s">
        <v>29</v>
      </c>
      <c r="F11" t="s">
        <v>42</v>
      </c>
      <c r="G11">
        <v>2653.15</v>
      </c>
      <c r="H11">
        <v>2</v>
      </c>
      <c r="I11">
        <v>-185.56</v>
      </c>
      <c r="L11" t="s">
        <v>8</v>
      </c>
    </row>
    <row r="12" spans="1:12" x14ac:dyDescent="0.3">
      <c r="A12" t="s">
        <v>43</v>
      </c>
      <c r="B12" s="1">
        <v>45847</v>
      </c>
      <c r="C12" t="s">
        <v>17</v>
      </c>
      <c r="D12" t="s">
        <v>21</v>
      </c>
      <c r="E12" t="s">
        <v>36</v>
      </c>
      <c r="F12" t="s">
        <v>44</v>
      </c>
      <c r="G12">
        <v>4917.6899999999996</v>
      </c>
      <c r="H12">
        <v>10</v>
      </c>
      <c r="I12">
        <v>1401.18</v>
      </c>
    </row>
    <row r="13" spans="1:12" x14ac:dyDescent="0.3">
      <c r="A13" t="s">
        <v>45</v>
      </c>
      <c r="B13" s="1">
        <v>45936</v>
      </c>
      <c r="C13" t="s">
        <v>28</v>
      </c>
      <c r="D13" t="s">
        <v>32</v>
      </c>
      <c r="E13" t="s">
        <v>39</v>
      </c>
      <c r="F13" t="s">
        <v>46</v>
      </c>
      <c r="G13">
        <v>3142.06</v>
      </c>
      <c r="H13">
        <v>3</v>
      </c>
      <c r="I13">
        <v>617.83000000000004</v>
      </c>
    </row>
    <row r="14" spans="1:12" x14ac:dyDescent="0.3">
      <c r="A14" t="s">
        <v>47</v>
      </c>
      <c r="B14" s="1">
        <v>45843</v>
      </c>
      <c r="C14" t="s">
        <v>17</v>
      </c>
      <c r="D14" t="s">
        <v>11</v>
      </c>
      <c r="E14" t="s">
        <v>48</v>
      </c>
      <c r="F14" t="s">
        <v>49</v>
      </c>
      <c r="G14">
        <v>1310.21</v>
      </c>
      <c r="H14">
        <v>5</v>
      </c>
      <c r="I14">
        <v>144.18</v>
      </c>
    </row>
    <row r="15" spans="1:12" x14ac:dyDescent="0.3">
      <c r="A15" t="s">
        <v>50</v>
      </c>
      <c r="B15" s="1">
        <v>45693</v>
      </c>
      <c r="C15" t="s">
        <v>28</v>
      </c>
      <c r="D15" t="s">
        <v>21</v>
      </c>
      <c r="E15" t="s">
        <v>22</v>
      </c>
      <c r="F15" t="s">
        <v>51</v>
      </c>
      <c r="G15">
        <v>2475.94</v>
      </c>
      <c r="H15">
        <v>7</v>
      </c>
      <c r="I15">
        <v>396.96</v>
      </c>
    </row>
    <row r="16" spans="1:12" x14ac:dyDescent="0.3">
      <c r="A16" t="s">
        <v>52</v>
      </c>
      <c r="B16" s="1">
        <v>45819</v>
      </c>
      <c r="C16" t="s">
        <v>17</v>
      </c>
      <c r="D16" t="s">
        <v>21</v>
      </c>
      <c r="E16" t="s">
        <v>22</v>
      </c>
      <c r="F16" t="s">
        <v>53</v>
      </c>
      <c r="G16">
        <v>3618.04</v>
      </c>
      <c r="H16">
        <v>6</v>
      </c>
      <c r="I16">
        <v>367.89</v>
      </c>
    </row>
    <row r="17" spans="1:9" x14ac:dyDescent="0.3">
      <c r="A17" t="s">
        <v>54</v>
      </c>
      <c r="B17" s="1">
        <v>45512</v>
      </c>
      <c r="C17" t="s">
        <v>10</v>
      </c>
      <c r="D17" t="s">
        <v>32</v>
      </c>
      <c r="E17" t="s">
        <v>33</v>
      </c>
      <c r="F17" t="s">
        <v>55</v>
      </c>
      <c r="G17">
        <v>224.88</v>
      </c>
      <c r="H17">
        <v>9</v>
      </c>
      <c r="I17">
        <v>-9.34</v>
      </c>
    </row>
    <row r="18" spans="1:9" x14ac:dyDescent="0.3">
      <c r="A18" t="s">
        <v>56</v>
      </c>
      <c r="B18" s="1">
        <v>45449</v>
      </c>
      <c r="C18" t="s">
        <v>10</v>
      </c>
      <c r="D18" t="s">
        <v>21</v>
      </c>
      <c r="E18" t="s">
        <v>29</v>
      </c>
      <c r="F18" t="s">
        <v>57</v>
      </c>
      <c r="G18">
        <v>4054.61</v>
      </c>
      <c r="H18">
        <v>8</v>
      </c>
      <c r="I18">
        <v>-243.12</v>
      </c>
    </row>
    <row r="19" spans="1:9" x14ac:dyDescent="0.3">
      <c r="A19" t="s">
        <v>58</v>
      </c>
      <c r="B19" s="1">
        <v>45979</v>
      </c>
      <c r="C19" t="s">
        <v>28</v>
      </c>
      <c r="D19" t="s">
        <v>21</v>
      </c>
      <c r="E19" t="s">
        <v>36</v>
      </c>
      <c r="F19" t="s">
        <v>59</v>
      </c>
      <c r="G19">
        <v>1424.4</v>
      </c>
      <c r="H19">
        <v>8</v>
      </c>
      <c r="I19">
        <v>-97.13</v>
      </c>
    </row>
    <row r="20" spans="1:9" x14ac:dyDescent="0.3">
      <c r="A20" t="s">
        <v>60</v>
      </c>
      <c r="B20" s="1">
        <v>45797</v>
      </c>
      <c r="C20" t="s">
        <v>28</v>
      </c>
      <c r="D20" t="s">
        <v>11</v>
      </c>
      <c r="E20" t="s">
        <v>48</v>
      </c>
      <c r="F20" t="s">
        <v>61</v>
      </c>
      <c r="G20">
        <v>4383.25</v>
      </c>
      <c r="H20">
        <v>5</v>
      </c>
      <c r="I20">
        <v>65.680000000000007</v>
      </c>
    </row>
    <row r="21" spans="1:9" x14ac:dyDescent="0.3">
      <c r="A21" t="s">
        <v>62</v>
      </c>
      <c r="B21" s="1">
        <v>45974</v>
      </c>
      <c r="C21" t="s">
        <v>25</v>
      </c>
      <c r="D21" t="s">
        <v>11</v>
      </c>
      <c r="E21" t="s">
        <v>18</v>
      </c>
      <c r="F21" t="s">
        <v>63</v>
      </c>
      <c r="G21">
        <v>3622.53</v>
      </c>
      <c r="H21">
        <v>6</v>
      </c>
      <c r="I21">
        <v>443.28</v>
      </c>
    </row>
    <row r="22" spans="1:9" x14ac:dyDescent="0.3">
      <c r="A22" t="s">
        <v>64</v>
      </c>
      <c r="B22" s="1">
        <v>45442</v>
      </c>
      <c r="C22" t="s">
        <v>25</v>
      </c>
      <c r="D22" t="s">
        <v>21</v>
      </c>
      <c r="E22" t="s">
        <v>36</v>
      </c>
      <c r="F22" t="s">
        <v>65</v>
      </c>
      <c r="G22">
        <v>213.61</v>
      </c>
      <c r="H22">
        <v>6</v>
      </c>
      <c r="I22">
        <v>53.13</v>
      </c>
    </row>
    <row r="23" spans="1:9" x14ac:dyDescent="0.3">
      <c r="A23" t="s">
        <v>66</v>
      </c>
      <c r="B23" s="1">
        <v>45341</v>
      </c>
      <c r="C23" t="s">
        <v>17</v>
      </c>
      <c r="D23" t="s">
        <v>11</v>
      </c>
      <c r="E23" t="s">
        <v>12</v>
      </c>
      <c r="F23" t="s">
        <v>40</v>
      </c>
      <c r="G23">
        <v>647.91999999999996</v>
      </c>
      <c r="H23">
        <v>1</v>
      </c>
      <c r="I23">
        <v>-59.72</v>
      </c>
    </row>
    <row r="24" spans="1:9" x14ac:dyDescent="0.3">
      <c r="A24" t="s">
        <v>67</v>
      </c>
      <c r="B24" s="1">
        <v>45886</v>
      </c>
      <c r="C24" t="s">
        <v>25</v>
      </c>
      <c r="D24" t="s">
        <v>11</v>
      </c>
      <c r="E24" t="s">
        <v>12</v>
      </c>
      <c r="F24" t="s">
        <v>68</v>
      </c>
      <c r="G24">
        <v>3454.84</v>
      </c>
      <c r="H24">
        <v>8</v>
      </c>
      <c r="I24">
        <v>160.16999999999999</v>
      </c>
    </row>
    <row r="25" spans="1:9" x14ac:dyDescent="0.3">
      <c r="A25" t="s">
        <v>69</v>
      </c>
      <c r="B25" s="1">
        <v>45681</v>
      </c>
      <c r="C25" t="s">
        <v>25</v>
      </c>
      <c r="D25" t="s">
        <v>32</v>
      </c>
      <c r="E25" t="s">
        <v>39</v>
      </c>
      <c r="F25" t="s">
        <v>70</v>
      </c>
      <c r="G25">
        <v>3240.41</v>
      </c>
      <c r="H25">
        <v>1</v>
      </c>
      <c r="I25">
        <v>821.83</v>
      </c>
    </row>
    <row r="26" spans="1:9" x14ac:dyDescent="0.3">
      <c r="A26" t="s">
        <v>71</v>
      </c>
      <c r="B26" s="1">
        <v>45832</v>
      </c>
      <c r="C26" t="s">
        <v>17</v>
      </c>
      <c r="D26" t="s">
        <v>11</v>
      </c>
      <c r="E26" t="s">
        <v>18</v>
      </c>
      <c r="F26" t="s">
        <v>51</v>
      </c>
      <c r="G26">
        <v>2555.69</v>
      </c>
      <c r="H26">
        <v>6</v>
      </c>
      <c r="I26">
        <v>658.98</v>
      </c>
    </row>
    <row r="27" spans="1:9" x14ac:dyDescent="0.3">
      <c r="A27" t="s">
        <v>72</v>
      </c>
      <c r="B27" s="1">
        <v>46014</v>
      </c>
      <c r="C27" t="s">
        <v>28</v>
      </c>
      <c r="D27" t="s">
        <v>32</v>
      </c>
      <c r="E27" t="s">
        <v>73</v>
      </c>
      <c r="F27" t="s">
        <v>74</v>
      </c>
      <c r="G27">
        <v>567.66999999999996</v>
      </c>
      <c r="H27">
        <v>3</v>
      </c>
      <c r="I27">
        <v>55.63</v>
      </c>
    </row>
    <row r="28" spans="1:9" x14ac:dyDescent="0.3">
      <c r="A28" t="s">
        <v>75</v>
      </c>
      <c r="B28" s="1">
        <v>45536</v>
      </c>
      <c r="C28" t="s">
        <v>17</v>
      </c>
      <c r="D28" t="s">
        <v>21</v>
      </c>
      <c r="E28" t="s">
        <v>29</v>
      </c>
      <c r="F28" t="s">
        <v>76</v>
      </c>
      <c r="G28">
        <v>1357.64</v>
      </c>
      <c r="H28">
        <v>3</v>
      </c>
      <c r="I28">
        <v>62.3</v>
      </c>
    </row>
    <row r="29" spans="1:9" x14ac:dyDescent="0.3">
      <c r="A29" t="s">
        <v>77</v>
      </c>
      <c r="B29" s="1">
        <v>45562</v>
      </c>
      <c r="C29" t="s">
        <v>17</v>
      </c>
      <c r="D29" t="s">
        <v>32</v>
      </c>
      <c r="E29" t="s">
        <v>33</v>
      </c>
      <c r="F29" t="s">
        <v>78</v>
      </c>
      <c r="G29">
        <v>4842.6099999999997</v>
      </c>
      <c r="H29">
        <v>7</v>
      </c>
      <c r="I29">
        <v>-335.82</v>
      </c>
    </row>
    <row r="30" spans="1:9" x14ac:dyDescent="0.3">
      <c r="A30" t="s">
        <v>79</v>
      </c>
      <c r="B30" s="1">
        <v>45510</v>
      </c>
      <c r="C30" t="s">
        <v>17</v>
      </c>
      <c r="D30" t="s">
        <v>32</v>
      </c>
      <c r="E30" t="s">
        <v>73</v>
      </c>
      <c r="F30" t="s">
        <v>80</v>
      </c>
      <c r="G30">
        <v>4502.3100000000004</v>
      </c>
      <c r="H30">
        <v>6</v>
      </c>
      <c r="I30">
        <v>1022.33</v>
      </c>
    </row>
    <row r="31" spans="1:9" x14ac:dyDescent="0.3">
      <c r="A31" t="s">
        <v>81</v>
      </c>
      <c r="B31" s="1">
        <v>45532</v>
      </c>
      <c r="C31" t="s">
        <v>17</v>
      </c>
      <c r="D31" t="s">
        <v>11</v>
      </c>
      <c r="E31" t="s">
        <v>48</v>
      </c>
      <c r="F31" t="s">
        <v>82</v>
      </c>
      <c r="G31">
        <v>2547.06</v>
      </c>
      <c r="H31">
        <v>4</v>
      </c>
      <c r="I31">
        <v>-129.97999999999999</v>
      </c>
    </row>
    <row r="32" spans="1:9" x14ac:dyDescent="0.3">
      <c r="A32" t="s">
        <v>83</v>
      </c>
      <c r="B32" s="1">
        <v>45429</v>
      </c>
      <c r="C32" t="s">
        <v>17</v>
      </c>
      <c r="D32" t="s">
        <v>11</v>
      </c>
      <c r="E32" t="s">
        <v>12</v>
      </c>
      <c r="F32" t="s">
        <v>84</v>
      </c>
      <c r="G32">
        <v>2215.36</v>
      </c>
      <c r="H32">
        <v>9</v>
      </c>
      <c r="I32">
        <v>440.64</v>
      </c>
    </row>
    <row r="33" spans="1:9" x14ac:dyDescent="0.3">
      <c r="A33" t="s">
        <v>85</v>
      </c>
      <c r="B33" s="1">
        <v>45870</v>
      </c>
      <c r="C33" t="s">
        <v>28</v>
      </c>
      <c r="D33" t="s">
        <v>32</v>
      </c>
      <c r="E33" t="s">
        <v>39</v>
      </c>
      <c r="F33" t="s">
        <v>86</v>
      </c>
      <c r="G33">
        <v>1018.47</v>
      </c>
      <c r="H33">
        <v>4</v>
      </c>
      <c r="I33">
        <v>-35.26</v>
      </c>
    </row>
    <row r="34" spans="1:9" x14ac:dyDescent="0.3">
      <c r="A34" t="s">
        <v>87</v>
      </c>
      <c r="B34" s="1">
        <v>45675</v>
      </c>
      <c r="C34" t="s">
        <v>28</v>
      </c>
      <c r="D34" t="s">
        <v>21</v>
      </c>
      <c r="E34" t="s">
        <v>22</v>
      </c>
      <c r="F34" t="s">
        <v>88</v>
      </c>
      <c r="G34">
        <v>686.63</v>
      </c>
      <c r="H34">
        <v>10</v>
      </c>
      <c r="I34">
        <v>65.03</v>
      </c>
    </row>
    <row r="35" spans="1:9" x14ac:dyDescent="0.3">
      <c r="A35" t="s">
        <v>89</v>
      </c>
      <c r="B35" s="1">
        <v>45819</v>
      </c>
      <c r="C35" t="s">
        <v>10</v>
      </c>
      <c r="D35" t="s">
        <v>11</v>
      </c>
      <c r="E35" t="s">
        <v>12</v>
      </c>
      <c r="F35" t="s">
        <v>90</v>
      </c>
      <c r="G35">
        <v>75.62</v>
      </c>
      <c r="H35">
        <v>8</v>
      </c>
      <c r="I35">
        <v>1.48</v>
      </c>
    </row>
    <row r="36" spans="1:9" x14ac:dyDescent="0.3">
      <c r="A36" t="s">
        <v>91</v>
      </c>
      <c r="B36" s="1">
        <v>45429</v>
      </c>
      <c r="C36" t="s">
        <v>17</v>
      </c>
      <c r="D36" t="s">
        <v>32</v>
      </c>
      <c r="E36" t="s">
        <v>39</v>
      </c>
      <c r="F36" t="s">
        <v>51</v>
      </c>
      <c r="G36">
        <v>1603.48</v>
      </c>
      <c r="H36">
        <v>5</v>
      </c>
      <c r="I36">
        <v>250.46</v>
      </c>
    </row>
    <row r="37" spans="1:9" x14ac:dyDescent="0.3">
      <c r="A37" t="s">
        <v>92</v>
      </c>
      <c r="B37" s="1">
        <v>45637</v>
      </c>
      <c r="C37" t="s">
        <v>25</v>
      </c>
      <c r="D37" t="s">
        <v>11</v>
      </c>
      <c r="E37" t="s">
        <v>18</v>
      </c>
      <c r="F37" t="s">
        <v>93</v>
      </c>
      <c r="G37">
        <v>3571.21</v>
      </c>
      <c r="H37">
        <v>3</v>
      </c>
      <c r="I37">
        <v>123.81</v>
      </c>
    </row>
    <row r="38" spans="1:9" x14ac:dyDescent="0.3">
      <c r="A38" t="s">
        <v>94</v>
      </c>
      <c r="B38" s="1">
        <v>45936</v>
      </c>
      <c r="C38" t="s">
        <v>25</v>
      </c>
      <c r="D38" t="s">
        <v>11</v>
      </c>
      <c r="E38" t="s">
        <v>12</v>
      </c>
      <c r="F38" t="s">
        <v>95</v>
      </c>
      <c r="G38">
        <v>1046.3</v>
      </c>
      <c r="H38">
        <v>10</v>
      </c>
      <c r="I38">
        <v>151.66</v>
      </c>
    </row>
    <row r="39" spans="1:9" x14ac:dyDescent="0.3">
      <c r="A39" t="s">
        <v>96</v>
      </c>
      <c r="B39" s="1">
        <v>45966</v>
      </c>
      <c r="C39" t="s">
        <v>17</v>
      </c>
      <c r="D39" t="s">
        <v>21</v>
      </c>
      <c r="E39" t="s">
        <v>29</v>
      </c>
      <c r="F39" t="s">
        <v>97</v>
      </c>
      <c r="G39">
        <v>1964.48</v>
      </c>
      <c r="H39">
        <v>9</v>
      </c>
      <c r="I39">
        <v>104.49</v>
      </c>
    </row>
    <row r="40" spans="1:9" x14ac:dyDescent="0.3">
      <c r="A40" t="s">
        <v>98</v>
      </c>
      <c r="B40" s="1">
        <v>45818</v>
      </c>
      <c r="C40" t="s">
        <v>25</v>
      </c>
      <c r="D40" t="s">
        <v>21</v>
      </c>
      <c r="E40" t="s">
        <v>36</v>
      </c>
      <c r="F40" t="s">
        <v>99</v>
      </c>
      <c r="G40">
        <v>3734.36</v>
      </c>
      <c r="H40">
        <v>5</v>
      </c>
      <c r="I40">
        <v>420.36</v>
      </c>
    </row>
    <row r="41" spans="1:9" x14ac:dyDescent="0.3">
      <c r="A41" t="s">
        <v>100</v>
      </c>
      <c r="B41" s="1">
        <v>45297</v>
      </c>
      <c r="C41" t="s">
        <v>28</v>
      </c>
      <c r="D41" t="s">
        <v>21</v>
      </c>
      <c r="E41" t="s">
        <v>29</v>
      </c>
      <c r="F41" t="s">
        <v>101</v>
      </c>
      <c r="G41">
        <v>1867.58</v>
      </c>
      <c r="H41">
        <v>8</v>
      </c>
      <c r="I41">
        <v>303.97000000000003</v>
      </c>
    </row>
    <row r="42" spans="1:9" x14ac:dyDescent="0.3">
      <c r="A42" t="s">
        <v>102</v>
      </c>
      <c r="B42" s="1">
        <v>45485</v>
      </c>
      <c r="C42" t="s">
        <v>10</v>
      </c>
      <c r="D42" t="s">
        <v>21</v>
      </c>
      <c r="E42" t="s">
        <v>22</v>
      </c>
      <c r="F42" t="s">
        <v>103</v>
      </c>
      <c r="G42">
        <v>540.97</v>
      </c>
      <c r="H42">
        <v>1</v>
      </c>
      <c r="I42">
        <v>22.53</v>
      </c>
    </row>
    <row r="43" spans="1:9" x14ac:dyDescent="0.3">
      <c r="A43" t="s">
        <v>104</v>
      </c>
      <c r="B43" s="1">
        <v>45392</v>
      </c>
      <c r="C43" t="s">
        <v>25</v>
      </c>
      <c r="D43" t="s">
        <v>21</v>
      </c>
      <c r="E43" t="s">
        <v>22</v>
      </c>
      <c r="F43" t="s">
        <v>105</v>
      </c>
      <c r="G43">
        <v>3204.33</v>
      </c>
      <c r="H43">
        <v>7</v>
      </c>
      <c r="I43">
        <v>-34.26</v>
      </c>
    </row>
    <row r="44" spans="1:9" x14ac:dyDescent="0.3">
      <c r="A44" t="s">
        <v>106</v>
      </c>
      <c r="B44" s="1">
        <v>45678</v>
      </c>
      <c r="C44" t="s">
        <v>17</v>
      </c>
      <c r="D44" t="s">
        <v>21</v>
      </c>
      <c r="E44" t="s">
        <v>29</v>
      </c>
      <c r="F44" t="s">
        <v>107</v>
      </c>
      <c r="G44">
        <v>1982.97</v>
      </c>
      <c r="H44">
        <v>7</v>
      </c>
      <c r="I44">
        <v>208.61</v>
      </c>
    </row>
    <row r="45" spans="1:9" x14ac:dyDescent="0.3">
      <c r="A45" t="s">
        <v>108</v>
      </c>
      <c r="B45" s="1">
        <v>45670</v>
      </c>
      <c r="C45" t="s">
        <v>25</v>
      </c>
      <c r="D45" t="s">
        <v>21</v>
      </c>
      <c r="E45" t="s">
        <v>29</v>
      </c>
      <c r="F45" t="s">
        <v>97</v>
      </c>
      <c r="G45">
        <v>1047.6099999999999</v>
      </c>
      <c r="H45">
        <v>9</v>
      </c>
      <c r="I45">
        <v>286.24</v>
      </c>
    </row>
    <row r="46" spans="1:9" x14ac:dyDescent="0.3">
      <c r="A46" t="s">
        <v>109</v>
      </c>
      <c r="B46" s="1">
        <v>45409</v>
      </c>
      <c r="C46" t="s">
        <v>10</v>
      </c>
      <c r="D46" t="s">
        <v>32</v>
      </c>
      <c r="E46" t="s">
        <v>39</v>
      </c>
      <c r="F46" t="s">
        <v>61</v>
      </c>
      <c r="G46">
        <v>498.8</v>
      </c>
      <c r="H46">
        <v>2</v>
      </c>
      <c r="I46">
        <v>60.87</v>
      </c>
    </row>
    <row r="47" spans="1:9" x14ac:dyDescent="0.3">
      <c r="A47" t="s">
        <v>110</v>
      </c>
      <c r="B47" s="1">
        <v>45979</v>
      </c>
      <c r="C47" t="s">
        <v>10</v>
      </c>
      <c r="D47" t="s">
        <v>32</v>
      </c>
      <c r="E47" t="s">
        <v>39</v>
      </c>
      <c r="F47" t="s">
        <v>111</v>
      </c>
      <c r="G47">
        <v>4373.04</v>
      </c>
      <c r="H47">
        <v>10</v>
      </c>
      <c r="I47">
        <v>-397.05</v>
      </c>
    </row>
    <row r="48" spans="1:9" x14ac:dyDescent="0.3">
      <c r="A48" t="s">
        <v>112</v>
      </c>
      <c r="B48" s="1">
        <v>45407</v>
      </c>
      <c r="C48" t="s">
        <v>25</v>
      </c>
      <c r="D48" t="s">
        <v>11</v>
      </c>
      <c r="E48" t="s">
        <v>12</v>
      </c>
      <c r="F48" t="s">
        <v>113</v>
      </c>
      <c r="G48">
        <v>1435.47</v>
      </c>
      <c r="H48">
        <v>3</v>
      </c>
      <c r="I48">
        <v>271.70999999999998</v>
      </c>
    </row>
    <row r="49" spans="1:9" x14ac:dyDescent="0.3">
      <c r="A49" t="s">
        <v>114</v>
      </c>
      <c r="B49" s="1">
        <v>45674</v>
      </c>
      <c r="C49" t="s">
        <v>25</v>
      </c>
      <c r="D49" t="s">
        <v>21</v>
      </c>
      <c r="E49" t="s">
        <v>22</v>
      </c>
      <c r="F49" t="s">
        <v>34</v>
      </c>
      <c r="G49">
        <v>3131.36</v>
      </c>
      <c r="H49">
        <v>1</v>
      </c>
      <c r="I49">
        <v>191.23</v>
      </c>
    </row>
    <row r="50" spans="1:9" x14ac:dyDescent="0.3">
      <c r="A50" t="s">
        <v>115</v>
      </c>
      <c r="B50" s="1">
        <v>45816</v>
      </c>
      <c r="C50" t="s">
        <v>17</v>
      </c>
      <c r="D50" t="s">
        <v>32</v>
      </c>
      <c r="E50" t="s">
        <v>33</v>
      </c>
      <c r="F50" t="s">
        <v>99</v>
      </c>
      <c r="G50">
        <v>2989.11</v>
      </c>
      <c r="H50">
        <v>8</v>
      </c>
      <c r="I50">
        <v>553.16999999999996</v>
      </c>
    </row>
    <row r="51" spans="1:9" x14ac:dyDescent="0.3">
      <c r="A51" t="s">
        <v>116</v>
      </c>
      <c r="B51" s="1">
        <v>45708</v>
      </c>
      <c r="C51" t="s">
        <v>28</v>
      </c>
      <c r="D51" t="s">
        <v>11</v>
      </c>
      <c r="E51" t="s">
        <v>12</v>
      </c>
      <c r="F51" t="s">
        <v>117</v>
      </c>
      <c r="G51">
        <v>2430.7199999999998</v>
      </c>
      <c r="H51">
        <v>3</v>
      </c>
      <c r="I51">
        <v>-43.98</v>
      </c>
    </row>
    <row r="52" spans="1:9" x14ac:dyDescent="0.3">
      <c r="A52" t="s">
        <v>118</v>
      </c>
      <c r="B52" s="1">
        <v>45926</v>
      </c>
      <c r="C52" t="s">
        <v>17</v>
      </c>
      <c r="D52" t="s">
        <v>11</v>
      </c>
      <c r="E52" t="s">
        <v>18</v>
      </c>
      <c r="F52" t="s">
        <v>119</v>
      </c>
      <c r="G52">
        <v>2380.61</v>
      </c>
      <c r="H52">
        <v>4</v>
      </c>
      <c r="I52">
        <v>59.86</v>
      </c>
    </row>
    <row r="53" spans="1:9" x14ac:dyDescent="0.3">
      <c r="A53" t="s">
        <v>120</v>
      </c>
      <c r="B53" s="1">
        <v>45408</v>
      </c>
      <c r="C53" t="s">
        <v>10</v>
      </c>
      <c r="D53" t="s">
        <v>11</v>
      </c>
      <c r="E53" t="s">
        <v>12</v>
      </c>
      <c r="F53" t="s">
        <v>121</v>
      </c>
      <c r="G53">
        <v>2313.64</v>
      </c>
      <c r="H53">
        <v>4</v>
      </c>
      <c r="I53">
        <v>189.16</v>
      </c>
    </row>
    <row r="54" spans="1:9" x14ac:dyDescent="0.3">
      <c r="A54" t="s">
        <v>122</v>
      </c>
      <c r="B54" s="1">
        <v>45988</v>
      </c>
      <c r="C54" t="s">
        <v>25</v>
      </c>
      <c r="D54" t="s">
        <v>21</v>
      </c>
      <c r="E54" t="s">
        <v>36</v>
      </c>
      <c r="F54" t="s">
        <v>123</v>
      </c>
      <c r="G54">
        <v>4430.8100000000004</v>
      </c>
      <c r="H54">
        <v>9</v>
      </c>
      <c r="I54">
        <v>759.27</v>
      </c>
    </row>
    <row r="55" spans="1:9" x14ac:dyDescent="0.3">
      <c r="A55" t="s">
        <v>124</v>
      </c>
      <c r="B55" s="1">
        <v>45917</v>
      </c>
      <c r="C55" t="s">
        <v>17</v>
      </c>
      <c r="D55" t="s">
        <v>32</v>
      </c>
      <c r="E55" t="s">
        <v>33</v>
      </c>
      <c r="F55" t="s">
        <v>125</v>
      </c>
      <c r="G55">
        <v>2718.95</v>
      </c>
      <c r="H55">
        <v>7</v>
      </c>
      <c r="I55">
        <v>610.78</v>
      </c>
    </row>
    <row r="56" spans="1:9" x14ac:dyDescent="0.3">
      <c r="A56" t="s">
        <v>126</v>
      </c>
      <c r="B56" s="1">
        <v>45863</v>
      </c>
      <c r="C56" t="s">
        <v>10</v>
      </c>
      <c r="D56" t="s">
        <v>11</v>
      </c>
      <c r="E56" t="s">
        <v>12</v>
      </c>
      <c r="F56" t="s">
        <v>127</v>
      </c>
      <c r="G56">
        <v>2560.83</v>
      </c>
      <c r="H56">
        <v>1</v>
      </c>
      <c r="I56">
        <v>-196.27</v>
      </c>
    </row>
    <row r="57" spans="1:9" x14ac:dyDescent="0.3">
      <c r="A57" t="s">
        <v>128</v>
      </c>
      <c r="B57" s="1">
        <v>45876</v>
      </c>
      <c r="C57" t="s">
        <v>10</v>
      </c>
      <c r="D57" t="s">
        <v>32</v>
      </c>
      <c r="E57" t="s">
        <v>33</v>
      </c>
      <c r="F57" t="s">
        <v>129</v>
      </c>
      <c r="G57">
        <v>918.5</v>
      </c>
      <c r="H57">
        <v>6</v>
      </c>
      <c r="I57">
        <v>192.85</v>
      </c>
    </row>
    <row r="58" spans="1:9" x14ac:dyDescent="0.3">
      <c r="A58" t="s">
        <v>130</v>
      </c>
      <c r="B58" s="1">
        <v>45709</v>
      </c>
      <c r="C58" t="s">
        <v>25</v>
      </c>
      <c r="D58" t="s">
        <v>32</v>
      </c>
      <c r="E58" t="s">
        <v>39</v>
      </c>
      <c r="F58" t="s">
        <v>131</v>
      </c>
      <c r="G58">
        <v>4489.5200000000004</v>
      </c>
      <c r="H58">
        <v>8</v>
      </c>
      <c r="I58">
        <v>-364.06</v>
      </c>
    </row>
    <row r="59" spans="1:9" x14ac:dyDescent="0.3">
      <c r="A59" t="s">
        <v>132</v>
      </c>
      <c r="B59" s="1">
        <v>45355</v>
      </c>
      <c r="C59" t="s">
        <v>10</v>
      </c>
      <c r="D59" t="s">
        <v>11</v>
      </c>
      <c r="E59" t="s">
        <v>12</v>
      </c>
      <c r="F59" t="s">
        <v>133</v>
      </c>
      <c r="G59">
        <v>2563.9899999999998</v>
      </c>
      <c r="H59">
        <v>7</v>
      </c>
      <c r="I59">
        <v>-114.09</v>
      </c>
    </row>
    <row r="60" spans="1:9" x14ac:dyDescent="0.3">
      <c r="A60" t="s">
        <v>134</v>
      </c>
      <c r="B60" s="1">
        <v>45854</v>
      </c>
      <c r="C60" t="s">
        <v>28</v>
      </c>
      <c r="D60" t="s">
        <v>32</v>
      </c>
      <c r="E60" t="s">
        <v>39</v>
      </c>
      <c r="F60" t="s">
        <v>135</v>
      </c>
      <c r="G60">
        <v>4029.48</v>
      </c>
      <c r="H60">
        <v>7</v>
      </c>
      <c r="I60">
        <v>820.82</v>
      </c>
    </row>
    <row r="61" spans="1:9" x14ac:dyDescent="0.3">
      <c r="A61" t="s">
        <v>136</v>
      </c>
      <c r="B61" s="1">
        <v>45610</v>
      </c>
      <c r="C61" t="s">
        <v>25</v>
      </c>
      <c r="D61" t="s">
        <v>21</v>
      </c>
      <c r="E61" t="s">
        <v>22</v>
      </c>
      <c r="F61" t="s">
        <v>137</v>
      </c>
      <c r="G61">
        <v>4564.66</v>
      </c>
      <c r="H61">
        <v>9</v>
      </c>
      <c r="I61">
        <v>1265.47</v>
      </c>
    </row>
    <row r="62" spans="1:9" x14ac:dyDescent="0.3">
      <c r="A62" t="s">
        <v>138</v>
      </c>
      <c r="B62" s="1">
        <v>45837</v>
      </c>
      <c r="C62" t="s">
        <v>28</v>
      </c>
      <c r="D62" t="s">
        <v>11</v>
      </c>
      <c r="E62" t="s">
        <v>18</v>
      </c>
      <c r="F62" t="s">
        <v>121</v>
      </c>
      <c r="G62">
        <v>1735.56</v>
      </c>
      <c r="H62">
        <v>1</v>
      </c>
      <c r="I62">
        <v>-77.88</v>
      </c>
    </row>
    <row r="63" spans="1:9" x14ac:dyDescent="0.3">
      <c r="A63" t="s">
        <v>139</v>
      </c>
      <c r="B63" s="1">
        <v>45596</v>
      </c>
      <c r="C63" t="s">
        <v>25</v>
      </c>
      <c r="D63" t="s">
        <v>21</v>
      </c>
      <c r="E63" t="s">
        <v>36</v>
      </c>
      <c r="F63" t="s">
        <v>53</v>
      </c>
      <c r="G63">
        <v>4217.82</v>
      </c>
      <c r="H63">
        <v>8</v>
      </c>
      <c r="I63">
        <v>-75.569999999999993</v>
      </c>
    </row>
    <row r="64" spans="1:9" x14ac:dyDescent="0.3">
      <c r="A64" t="s">
        <v>140</v>
      </c>
      <c r="B64" s="1">
        <v>45703</v>
      </c>
      <c r="C64" t="s">
        <v>25</v>
      </c>
      <c r="D64" t="s">
        <v>32</v>
      </c>
      <c r="E64" t="s">
        <v>33</v>
      </c>
      <c r="F64" t="s">
        <v>141</v>
      </c>
      <c r="G64">
        <v>3979.05</v>
      </c>
      <c r="H64">
        <v>3</v>
      </c>
      <c r="I64">
        <v>789.06</v>
      </c>
    </row>
    <row r="65" spans="1:9" x14ac:dyDescent="0.3">
      <c r="A65" t="s">
        <v>142</v>
      </c>
      <c r="B65" s="1">
        <v>45625</v>
      </c>
      <c r="C65" t="s">
        <v>10</v>
      </c>
      <c r="D65" t="s">
        <v>32</v>
      </c>
      <c r="E65" t="s">
        <v>39</v>
      </c>
      <c r="F65" t="s">
        <v>44</v>
      </c>
      <c r="G65">
        <v>1412.22</v>
      </c>
      <c r="H65">
        <v>1</v>
      </c>
      <c r="I65">
        <v>63.08</v>
      </c>
    </row>
    <row r="66" spans="1:9" x14ac:dyDescent="0.3">
      <c r="A66" t="s">
        <v>143</v>
      </c>
      <c r="B66" s="1">
        <v>45831</v>
      </c>
      <c r="C66" t="s">
        <v>28</v>
      </c>
      <c r="D66" t="s">
        <v>32</v>
      </c>
      <c r="E66" t="s">
        <v>39</v>
      </c>
      <c r="F66" t="s">
        <v>144</v>
      </c>
      <c r="G66">
        <v>4999.7700000000004</v>
      </c>
      <c r="H66">
        <v>9</v>
      </c>
      <c r="I66">
        <v>-164.02</v>
      </c>
    </row>
    <row r="67" spans="1:9" x14ac:dyDescent="0.3">
      <c r="A67" t="s">
        <v>145</v>
      </c>
      <c r="B67" s="1">
        <v>45482</v>
      </c>
      <c r="C67" t="s">
        <v>17</v>
      </c>
      <c r="D67" t="s">
        <v>11</v>
      </c>
      <c r="E67" t="s">
        <v>18</v>
      </c>
      <c r="F67" t="s">
        <v>146</v>
      </c>
      <c r="G67">
        <v>2731.25</v>
      </c>
      <c r="H67">
        <v>3</v>
      </c>
      <c r="I67">
        <v>319.3</v>
      </c>
    </row>
    <row r="68" spans="1:9" x14ac:dyDescent="0.3">
      <c r="A68" t="s">
        <v>147</v>
      </c>
      <c r="B68" s="1">
        <v>45851</v>
      </c>
      <c r="C68" t="s">
        <v>25</v>
      </c>
      <c r="D68" t="s">
        <v>32</v>
      </c>
      <c r="E68" t="s">
        <v>33</v>
      </c>
      <c r="F68" t="s">
        <v>148</v>
      </c>
      <c r="G68">
        <v>3738.75</v>
      </c>
      <c r="H68">
        <v>5</v>
      </c>
      <c r="I68">
        <v>-143.77000000000001</v>
      </c>
    </row>
    <row r="69" spans="1:9" x14ac:dyDescent="0.3">
      <c r="A69" t="s">
        <v>149</v>
      </c>
      <c r="B69" s="1">
        <v>45316</v>
      </c>
      <c r="C69" t="s">
        <v>17</v>
      </c>
      <c r="D69" t="s">
        <v>21</v>
      </c>
      <c r="E69" t="s">
        <v>22</v>
      </c>
      <c r="F69" t="s">
        <v>129</v>
      </c>
      <c r="G69">
        <v>3670.76</v>
      </c>
      <c r="H69">
        <v>8</v>
      </c>
      <c r="I69">
        <v>758.21</v>
      </c>
    </row>
    <row r="70" spans="1:9" x14ac:dyDescent="0.3">
      <c r="A70" t="s">
        <v>150</v>
      </c>
      <c r="B70" s="1">
        <v>45781</v>
      </c>
      <c r="C70" t="s">
        <v>10</v>
      </c>
      <c r="D70" t="s">
        <v>21</v>
      </c>
      <c r="E70" t="s">
        <v>36</v>
      </c>
      <c r="F70" t="s">
        <v>146</v>
      </c>
      <c r="G70">
        <v>4084.19</v>
      </c>
      <c r="H70">
        <v>10</v>
      </c>
      <c r="I70">
        <v>-340.63</v>
      </c>
    </row>
    <row r="71" spans="1:9" x14ac:dyDescent="0.3">
      <c r="A71" t="s">
        <v>151</v>
      </c>
      <c r="B71" s="1">
        <v>45969</v>
      </c>
      <c r="C71" t="s">
        <v>17</v>
      </c>
      <c r="D71" t="s">
        <v>21</v>
      </c>
      <c r="E71" t="s">
        <v>29</v>
      </c>
      <c r="F71" t="s">
        <v>152</v>
      </c>
      <c r="G71">
        <v>193.38</v>
      </c>
      <c r="H71">
        <v>7</v>
      </c>
      <c r="I71">
        <v>-15.01</v>
      </c>
    </row>
    <row r="72" spans="1:9" x14ac:dyDescent="0.3">
      <c r="A72" t="s">
        <v>153</v>
      </c>
      <c r="B72" s="1">
        <v>45364</v>
      </c>
      <c r="C72" t="s">
        <v>28</v>
      </c>
      <c r="D72" t="s">
        <v>21</v>
      </c>
      <c r="E72" t="s">
        <v>36</v>
      </c>
      <c r="F72" t="s">
        <v>154</v>
      </c>
      <c r="G72">
        <v>687.31</v>
      </c>
      <c r="H72">
        <v>10</v>
      </c>
      <c r="I72">
        <v>125.67</v>
      </c>
    </row>
    <row r="73" spans="1:9" x14ac:dyDescent="0.3">
      <c r="A73" t="s">
        <v>155</v>
      </c>
      <c r="B73" s="1">
        <v>45546</v>
      </c>
      <c r="C73" t="s">
        <v>10</v>
      </c>
      <c r="D73" t="s">
        <v>11</v>
      </c>
      <c r="E73" t="s">
        <v>48</v>
      </c>
      <c r="F73" t="s">
        <v>146</v>
      </c>
      <c r="G73">
        <v>435.6</v>
      </c>
      <c r="H73">
        <v>9</v>
      </c>
      <c r="I73">
        <v>36.46</v>
      </c>
    </row>
    <row r="74" spans="1:9" x14ac:dyDescent="0.3">
      <c r="A74" t="s">
        <v>156</v>
      </c>
      <c r="B74" s="1">
        <v>45408</v>
      </c>
      <c r="C74" t="s">
        <v>25</v>
      </c>
      <c r="D74" t="s">
        <v>32</v>
      </c>
      <c r="E74" t="s">
        <v>39</v>
      </c>
      <c r="F74" t="s">
        <v>157</v>
      </c>
      <c r="G74">
        <v>2137.23</v>
      </c>
      <c r="H74">
        <v>6</v>
      </c>
      <c r="I74">
        <v>376.38</v>
      </c>
    </row>
    <row r="75" spans="1:9" x14ac:dyDescent="0.3">
      <c r="A75" t="s">
        <v>158</v>
      </c>
      <c r="B75" s="1">
        <v>45992</v>
      </c>
      <c r="C75" t="s">
        <v>25</v>
      </c>
      <c r="D75" t="s">
        <v>32</v>
      </c>
      <c r="E75" t="s">
        <v>33</v>
      </c>
      <c r="F75" t="s">
        <v>34</v>
      </c>
      <c r="G75">
        <v>2263.56</v>
      </c>
      <c r="H75">
        <v>5</v>
      </c>
      <c r="I75">
        <v>612.04</v>
      </c>
    </row>
    <row r="76" spans="1:9" x14ac:dyDescent="0.3">
      <c r="A76" t="s">
        <v>159</v>
      </c>
      <c r="B76" s="1">
        <v>45318</v>
      </c>
      <c r="C76" t="s">
        <v>25</v>
      </c>
      <c r="D76" t="s">
        <v>21</v>
      </c>
      <c r="E76" t="s">
        <v>22</v>
      </c>
      <c r="F76" t="s">
        <v>160</v>
      </c>
      <c r="G76">
        <v>4307.8100000000004</v>
      </c>
      <c r="H76">
        <v>6</v>
      </c>
      <c r="I76">
        <v>588.89</v>
      </c>
    </row>
    <row r="77" spans="1:9" x14ac:dyDescent="0.3">
      <c r="A77" t="s">
        <v>161</v>
      </c>
      <c r="B77" s="1">
        <v>45854</v>
      </c>
      <c r="C77" t="s">
        <v>25</v>
      </c>
      <c r="D77" t="s">
        <v>21</v>
      </c>
      <c r="E77" t="s">
        <v>22</v>
      </c>
      <c r="F77" t="s">
        <v>107</v>
      </c>
      <c r="G77">
        <v>4789.68</v>
      </c>
      <c r="H77">
        <v>8</v>
      </c>
      <c r="I77">
        <v>902.45</v>
      </c>
    </row>
    <row r="78" spans="1:9" x14ac:dyDescent="0.3">
      <c r="A78" t="s">
        <v>162</v>
      </c>
      <c r="B78" s="1">
        <v>45745</v>
      </c>
      <c r="C78" t="s">
        <v>17</v>
      </c>
      <c r="D78" t="s">
        <v>21</v>
      </c>
      <c r="E78" t="s">
        <v>29</v>
      </c>
      <c r="F78" t="s">
        <v>157</v>
      </c>
      <c r="G78">
        <v>4539.32</v>
      </c>
      <c r="H78">
        <v>1</v>
      </c>
      <c r="I78">
        <v>-192.18</v>
      </c>
    </row>
    <row r="79" spans="1:9" x14ac:dyDescent="0.3">
      <c r="A79" t="s">
        <v>163</v>
      </c>
      <c r="B79" s="1">
        <v>45514</v>
      </c>
      <c r="C79" t="s">
        <v>10</v>
      </c>
      <c r="D79" t="s">
        <v>11</v>
      </c>
      <c r="E79" t="s">
        <v>18</v>
      </c>
      <c r="F79" t="s">
        <v>164</v>
      </c>
      <c r="G79">
        <v>1437.3</v>
      </c>
      <c r="H79">
        <v>10</v>
      </c>
      <c r="I79">
        <v>-20.53</v>
      </c>
    </row>
    <row r="80" spans="1:9" x14ac:dyDescent="0.3">
      <c r="A80" t="s">
        <v>165</v>
      </c>
      <c r="B80" s="1">
        <v>45791</v>
      </c>
      <c r="C80" t="s">
        <v>25</v>
      </c>
      <c r="D80" t="s">
        <v>32</v>
      </c>
      <c r="E80" t="s">
        <v>33</v>
      </c>
      <c r="F80" t="s">
        <v>166</v>
      </c>
      <c r="G80">
        <v>1318.03</v>
      </c>
      <c r="H80">
        <v>1</v>
      </c>
      <c r="I80">
        <v>26.11</v>
      </c>
    </row>
    <row r="81" spans="1:9" x14ac:dyDescent="0.3">
      <c r="A81" t="s">
        <v>167</v>
      </c>
      <c r="B81" s="1">
        <v>45386</v>
      </c>
      <c r="C81" t="s">
        <v>10</v>
      </c>
      <c r="D81" t="s">
        <v>32</v>
      </c>
      <c r="E81" t="s">
        <v>39</v>
      </c>
      <c r="F81" t="s">
        <v>168</v>
      </c>
      <c r="G81">
        <v>2639.89</v>
      </c>
      <c r="H81">
        <v>5</v>
      </c>
      <c r="I81">
        <v>49.79</v>
      </c>
    </row>
    <row r="82" spans="1:9" x14ac:dyDescent="0.3">
      <c r="A82" t="s">
        <v>169</v>
      </c>
      <c r="B82" s="1">
        <v>45509</v>
      </c>
      <c r="C82" t="s">
        <v>28</v>
      </c>
      <c r="D82" t="s">
        <v>32</v>
      </c>
      <c r="E82" t="s">
        <v>73</v>
      </c>
      <c r="F82" t="s">
        <v>90</v>
      </c>
      <c r="G82">
        <v>4582.97</v>
      </c>
      <c r="H82">
        <v>5</v>
      </c>
      <c r="I82">
        <v>707.23</v>
      </c>
    </row>
    <row r="83" spans="1:9" x14ac:dyDescent="0.3">
      <c r="A83" t="s">
        <v>170</v>
      </c>
      <c r="B83" s="1">
        <v>45585</v>
      </c>
      <c r="C83" t="s">
        <v>25</v>
      </c>
      <c r="D83" t="s">
        <v>21</v>
      </c>
      <c r="E83" t="s">
        <v>29</v>
      </c>
      <c r="F83" t="s">
        <v>171</v>
      </c>
      <c r="G83">
        <v>655.04999999999995</v>
      </c>
      <c r="H83">
        <v>1</v>
      </c>
      <c r="I83">
        <v>163.11000000000001</v>
      </c>
    </row>
    <row r="84" spans="1:9" x14ac:dyDescent="0.3">
      <c r="A84" t="s">
        <v>172</v>
      </c>
      <c r="B84" s="1">
        <v>45439</v>
      </c>
      <c r="C84" t="s">
        <v>10</v>
      </c>
      <c r="D84" t="s">
        <v>32</v>
      </c>
      <c r="E84" t="s">
        <v>73</v>
      </c>
      <c r="F84" t="s">
        <v>173</v>
      </c>
      <c r="G84">
        <v>4430.87</v>
      </c>
      <c r="H84">
        <v>2</v>
      </c>
      <c r="I84">
        <v>1024.54</v>
      </c>
    </row>
    <row r="85" spans="1:9" x14ac:dyDescent="0.3">
      <c r="A85" t="s">
        <v>174</v>
      </c>
      <c r="B85" s="1">
        <v>45805</v>
      </c>
      <c r="C85" t="s">
        <v>10</v>
      </c>
      <c r="D85" t="s">
        <v>32</v>
      </c>
      <c r="E85" t="s">
        <v>33</v>
      </c>
      <c r="F85" t="s">
        <v>88</v>
      </c>
      <c r="G85">
        <v>4992.1499999999996</v>
      </c>
      <c r="H85">
        <v>10</v>
      </c>
      <c r="I85">
        <v>740.65</v>
      </c>
    </row>
    <row r="86" spans="1:9" x14ac:dyDescent="0.3">
      <c r="A86" t="s">
        <v>175</v>
      </c>
      <c r="B86" s="1">
        <v>45981</v>
      </c>
      <c r="C86" t="s">
        <v>28</v>
      </c>
      <c r="D86" t="s">
        <v>32</v>
      </c>
      <c r="E86" t="s">
        <v>33</v>
      </c>
      <c r="F86" t="s">
        <v>176</v>
      </c>
      <c r="G86">
        <v>1493.4</v>
      </c>
      <c r="H86">
        <v>1</v>
      </c>
      <c r="I86">
        <v>251.68</v>
      </c>
    </row>
    <row r="87" spans="1:9" x14ac:dyDescent="0.3">
      <c r="A87" t="s">
        <v>177</v>
      </c>
      <c r="B87" s="1">
        <v>45674</v>
      </c>
      <c r="C87" t="s">
        <v>28</v>
      </c>
      <c r="D87" t="s">
        <v>32</v>
      </c>
      <c r="E87" t="s">
        <v>39</v>
      </c>
      <c r="F87" t="s">
        <v>178</v>
      </c>
      <c r="G87">
        <v>767.51</v>
      </c>
      <c r="H87">
        <v>8</v>
      </c>
      <c r="I87">
        <v>-46.09</v>
      </c>
    </row>
    <row r="88" spans="1:9" x14ac:dyDescent="0.3">
      <c r="A88" t="s">
        <v>179</v>
      </c>
      <c r="B88" s="1">
        <v>45339</v>
      </c>
      <c r="C88" t="s">
        <v>25</v>
      </c>
      <c r="D88" t="s">
        <v>32</v>
      </c>
      <c r="E88" t="s">
        <v>39</v>
      </c>
      <c r="F88" t="s">
        <v>180</v>
      </c>
      <c r="G88">
        <v>3476.24</v>
      </c>
      <c r="H88">
        <v>6</v>
      </c>
      <c r="I88">
        <v>57.77</v>
      </c>
    </row>
    <row r="89" spans="1:9" x14ac:dyDescent="0.3">
      <c r="A89" t="s">
        <v>181</v>
      </c>
      <c r="B89" s="1">
        <v>45841</v>
      </c>
      <c r="C89" t="s">
        <v>10</v>
      </c>
      <c r="D89" t="s">
        <v>21</v>
      </c>
      <c r="E89" t="s">
        <v>22</v>
      </c>
      <c r="F89" t="s">
        <v>182</v>
      </c>
      <c r="G89">
        <v>2011.99</v>
      </c>
      <c r="H89">
        <v>2</v>
      </c>
      <c r="I89">
        <v>-53.17</v>
      </c>
    </row>
    <row r="90" spans="1:9" x14ac:dyDescent="0.3">
      <c r="A90" t="s">
        <v>183</v>
      </c>
      <c r="B90" s="1">
        <v>45921</v>
      </c>
      <c r="C90" t="s">
        <v>25</v>
      </c>
      <c r="D90" t="s">
        <v>21</v>
      </c>
      <c r="E90" t="s">
        <v>22</v>
      </c>
      <c r="F90" t="s">
        <v>184</v>
      </c>
      <c r="G90">
        <v>1651.8</v>
      </c>
      <c r="H90">
        <v>3</v>
      </c>
      <c r="I90">
        <v>-120.27</v>
      </c>
    </row>
    <row r="91" spans="1:9" x14ac:dyDescent="0.3">
      <c r="A91" t="s">
        <v>185</v>
      </c>
      <c r="B91" s="1">
        <v>46000</v>
      </c>
      <c r="C91" t="s">
        <v>28</v>
      </c>
      <c r="D91" t="s">
        <v>21</v>
      </c>
      <c r="E91" t="s">
        <v>36</v>
      </c>
      <c r="F91" t="s">
        <v>86</v>
      </c>
      <c r="G91">
        <v>4204.97</v>
      </c>
      <c r="H91">
        <v>6</v>
      </c>
      <c r="I91">
        <v>458.83</v>
      </c>
    </row>
    <row r="92" spans="1:9" x14ac:dyDescent="0.3">
      <c r="A92" t="s">
        <v>186</v>
      </c>
      <c r="B92" s="1">
        <v>45314</v>
      </c>
      <c r="C92" t="s">
        <v>28</v>
      </c>
      <c r="D92" t="s">
        <v>21</v>
      </c>
      <c r="E92" t="s">
        <v>22</v>
      </c>
      <c r="F92" t="s">
        <v>187</v>
      </c>
      <c r="G92">
        <v>2881.93</v>
      </c>
      <c r="H92">
        <v>2</v>
      </c>
      <c r="I92">
        <v>467.57</v>
      </c>
    </row>
    <row r="93" spans="1:9" x14ac:dyDescent="0.3">
      <c r="A93" t="s">
        <v>188</v>
      </c>
      <c r="B93" s="1">
        <v>45886</v>
      </c>
      <c r="C93" t="s">
        <v>25</v>
      </c>
      <c r="D93" t="s">
        <v>32</v>
      </c>
      <c r="E93" t="s">
        <v>39</v>
      </c>
      <c r="F93" t="s">
        <v>166</v>
      </c>
      <c r="G93">
        <v>1759.38</v>
      </c>
      <c r="H93">
        <v>1</v>
      </c>
      <c r="I93">
        <v>-36.85</v>
      </c>
    </row>
    <row r="94" spans="1:9" x14ac:dyDescent="0.3">
      <c r="A94" t="s">
        <v>189</v>
      </c>
      <c r="B94" s="1">
        <v>45846</v>
      </c>
      <c r="C94" t="s">
        <v>28</v>
      </c>
      <c r="D94" t="s">
        <v>11</v>
      </c>
      <c r="E94" t="s">
        <v>48</v>
      </c>
      <c r="F94" t="s">
        <v>190</v>
      </c>
      <c r="G94">
        <v>290.63</v>
      </c>
      <c r="H94">
        <v>3</v>
      </c>
      <c r="I94">
        <v>13.46</v>
      </c>
    </row>
    <row r="95" spans="1:9" x14ac:dyDescent="0.3">
      <c r="A95" t="s">
        <v>191</v>
      </c>
      <c r="B95" s="1">
        <v>45773</v>
      </c>
      <c r="C95" t="s">
        <v>25</v>
      </c>
      <c r="D95" t="s">
        <v>21</v>
      </c>
      <c r="E95" t="s">
        <v>36</v>
      </c>
      <c r="F95" t="s">
        <v>192</v>
      </c>
      <c r="G95">
        <v>3689.55</v>
      </c>
      <c r="H95">
        <v>8</v>
      </c>
      <c r="I95">
        <v>3.19</v>
      </c>
    </row>
    <row r="96" spans="1:9" x14ac:dyDescent="0.3">
      <c r="A96" t="s">
        <v>193</v>
      </c>
      <c r="B96" s="1">
        <v>45718</v>
      </c>
      <c r="C96" t="s">
        <v>17</v>
      </c>
      <c r="D96" t="s">
        <v>21</v>
      </c>
      <c r="E96" t="s">
        <v>36</v>
      </c>
      <c r="F96" t="s">
        <v>187</v>
      </c>
      <c r="G96">
        <v>2774.36</v>
      </c>
      <c r="H96">
        <v>1</v>
      </c>
      <c r="I96">
        <v>597.30999999999995</v>
      </c>
    </row>
    <row r="97" spans="1:9" x14ac:dyDescent="0.3">
      <c r="A97" t="s">
        <v>194</v>
      </c>
      <c r="B97" s="1">
        <v>45523</v>
      </c>
      <c r="C97" t="s">
        <v>17</v>
      </c>
      <c r="D97" t="s">
        <v>32</v>
      </c>
      <c r="E97" t="s">
        <v>39</v>
      </c>
      <c r="F97" t="s">
        <v>195</v>
      </c>
      <c r="G97">
        <v>4015.77</v>
      </c>
      <c r="H97">
        <v>1</v>
      </c>
      <c r="I97">
        <v>814.86</v>
      </c>
    </row>
    <row r="98" spans="1:9" x14ac:dyDescent="0.3">
      <c r="A98" t="s">
        <v>196</v>
      </c>
      <c r="B98" s="1">
        <v>45442</v>
      </c>
      <c r="C98" t="s">
        <v>25</v>
      </c>
      <c r="D98" t="s">
        <v>32</v>
      </c>
      <c r="E98" t="s">
        <v>73</v>
      </c>
      <c r="F98" t="s">
        <v>97</v>
      </c>
      <c r="G98">
        <v>556.07000000000005</v>
      </c>
      <c r="H98">
        <v>4</v>
      </c>
      <c r="I98">
        <v>89.24</v>
      </c>
    </row>
    <row r="99" spans="1:9" x14ac:dyDescent="0.3">
      <c r="A99" t="s">
        <v>197</v>
      </c>
      <c r="B99" s="1">
        <v>45517</v>
      </c>
      <c r="C99" t="s">
        <v>25</v>
      </c>
      <c r="D99" t="s">
        <v>11</v>
      </c>
      <c r="E99" t="s">
        <v>12</v>
      </c>
      <c r="F99" t="s">
        <v>42</v>
      </c>
      <c r="G99">
        <v>2393.0300000000002</v>
      </c>
      <c r="H99">
        <v>6</v>
      </c>
      <c r="I99">
        <v>516.15</v>
      </c>
    </row>
    <row r="100" spans="1:9" x14ac:dyDescent="0.3">
      <c r="A100" t="s">
        <v>198</v>
      </c>
      <c r="B100" s="1">
        <v>45614</v>
      </c>
      <c r="C100" t="s">
        <v>25</v>
      </c>
      <c r="D100" t="s">
        <v>11</v>
      </c>
      <c r="E100" t="s">
        <v>12</v>
      </c>
      <c r="F100" t="s">
        <v>55</v>
      </c>
      <c r="G100">
        <v>4893.17</v>
      </c>
      <c r="H100">
        <v>6</v>
      </c>
      <c r="I100">
        <v>1170.96</v>
      </c>
    </row>
    <row r="101" spans="1:9" x14ac:dyDescent="0.3">
      <c r="A101" t="s">
        <v>199</v>
      </c>
      <c r="B101" s="1">
        <v>45775</v>
      </c>
      <c r="C101" t="s">
        <v>17</v>
      </c>
      <c r="D101" t="s">
        <v>11</v>
      </c>
      <c r="E101" t="s">
        <v>12</v>
      </c>
      <c r="F101" t="s">
        <v>200</v>
      </c>
      <c r="G101">
        <v>3492.05</v>
      </c>
      <c r="H101">
        <v>1</v>
      </c>
      <c r="I101">
        <v>232.95</v>
      </c>
    </row>
    <row r="102" spans="1:9" x14ac:dyDescent="0.3">
      <c r="A102" t="s">
        <v>201</v>
      </c>
      <c r="B102" s="1">
        <v>45358</v>
      </c>
      <c r="C102" t="s">
        <v>25</v>
      </c>
      <c r="D102" t="s">
        <v>11</v>
      </c>
      <c r="E102" t="s">
        <v>12</v>
      </c>
      <c r="F102" t="s">
        <v>202</v>
      </c>
      <c r="G102">
        <v>2761.66</v>
      </c>
      <c r="H102">
        <v>2</v>
      </c>
      <c r="I102">
        <v>-102.41</v>
      </c>
    </row>
    <row r="103" spans="1:9" x14ac:dyDescent="0.3">
      <c r="A103" t="s">
        <v>203</v>
      </c>
      <c r="B103" s="1">
        <v>45443</v>
      </c>
      <c r="C103" t="s">
        <v>10</v>
      </c>
      <c r="D103" t="s">
        <v>32</v>
      </c>
      <c r="E103" t="s">
        <v>73</v>
      </c>
      <c r="F103" t="s">
        <v>204</v>
      </c>
      <c r="G103">
        <v>3708.69</v>
      </c>
      <c r="H103">
        <v>9</v>
      </c>
      <c r="I103">
        <v>189.68</v>
      </c>
    </row>
    <row r="104" spans="1:9" x14ac:dyDescent="0.3">
      <c r="A104" t="s">
        <v>205</v>
      </c>
      <c r="B104" s="1">
        <v>45731</v>
      </c>
      <c r="C104" t="s">
        <v>17</v>
      </c>
      <c r="D104" t="s">
        <v>32</v>
      </c>
      <c r="E104" t="s">
        <v>73</v>
      </c>
      <c r="F104" t="s">
        <v>93</v>
      </c>
      <c r="G104">
        <v>1698.5</v>
      </c>
      <c r="H104">
        <v>10</v>
      </c>
      <c r="I104">
        <v>356.34</v>
      </c>
    </row>
    <row r="105" spans="1:9" x14ac:dyDescent="0.3">
      <c r="A105" t="s">
        <v>206</v>
      </c>
      <c r="B105" s="1">
        <v>45863</v>
      </c>
      <c r="C105" t="s">
        <v>25</v>
      </c>
      <c r="D105" t="s">
        <v>32</v>
      </c>
      <c r="E105" t="s">
        <v>33</v>
      </c>
      <c r="F105" t="s">
        <v>207</v>
      </c>
      <c r="G105">
        <v>4359.3</v>
      </c>
      <c r="H105">
        <v>2</v>
      </c>
      <c r="I105">
        <v>917.17</v>
      </c>
    </row>
    <row r="106" spans="1:9" x14ac:dyDescent="0.3">
      <c r="A106" t="s">
        <v>208</v>
      </c>
      <c r="B106" s="1">
        <v>45753</v>
      </c>
      <c r="C106" t="s">
        <v>17</v>
      </c>
      <c r="D106" t="s">
        <v>11</v>
      </c>
      <c r="E106" t="s">
        <v>18</v>
      </c>
      <c r="F106" t="s">
        <v>209</v>
      </c>
      <c r="G106">
        <v>4942.63</v>
      </c>
      <c r="H106">
        <v>9</v>
      </c>
      <c r="I106">
        <v>1407.52</v>
      </c>
    </row>
    <row r="107" spans="1:9" x14ac:dyDescent="0.3">
      <c r="A107" t="s">
        <v>210</v>
      </c>
      <c r="B107" s="1">
        <v>45361</v>
      </c>
      <c r="C107" t="s">
        <v>25</v>
      </c>
      <c r="D107" t="s">
        <v>32</v>
      </c>
      <c r="E107" t="s">
        <v>39</v>
      </c>
      <c r="F107" t="s">
        <v>211</v>
      </c>
      <c r="G107">
        <v>999.65</v>
      </c>
      <c r="H107">
        <v>5</v>
      </c>
      <c r="I107">
        <v>86</v>
      </c>
    </row>
    <row r="108" spans="1:9" x14ac:dyDescent="0.3">
      <c r="A108" t="s">
        <v>212</v>
      </c>
      <c r="B108" s="1">
        <v>45632</v>
      </c>
      <c r="C108" t="s">
        <v>10</v>
      </c>
      <c r="D108" t="s">
        <v>11</v>
      </c>
      <c r="E108" t="s">
        <v>12</v>
      </c>
      <c r="F108" t="s">
        <v>213</v>
      </c>
      <c r="G108">
        <v>4987.6000000000004</v>
      </c>
      <c r="H108">
        <v>6</v>
      </c>
      <c r="I108">
        <v>-298.23</v>
      </c>
    </row>
    <row r="109" spans="1:9" x14ac:dyDescent="0.3">
      <c r="A109" t="s">
        <v>214</v>
      </c>
      <c r="B109" s="1">
        <v>45830</v>
      </c>
      <c r="C109" t="s">
        <v>17</v>
      </c>
      <c r="D109" t="s">
        <v>21</v>
      </c>
      <c r="E109" t="s">
        <v>29</v>
      </c>
      <c r="F109" t="s">
        <v>215</v>
      </c>
      <c r="G109">
        <v>3626.61</v>
      </c>
      <c r="H109">
        <v>8</v>
      </c>
      <c r="I109">
        <v>-272.60000000000002</v>
      </c>
    </row>
    <row r="110" spans="1:9" x14ac:dyDescent="0.3">
      <c r="A110" t="s">
        <v>216</v>
      </c>
      <c r="B110" s="1">
        <v>45553</v>
      </c>
      <c r="C110" t="s">
        <v>25</v>
      </c>
      <c r="D110" t="s">
        <v>32</v>
      </c>
      <c r="E110" t="s">
        <v>73</v>
      </c>
      <c r="F110" t="s">
        <v>217</v>
      </c>
      <c r="G110">
        <v>1286.9100000000001</v>
      </c>
      <c r="H110">
        <v>3</v>
      </c>
      <c r="I110">
        <v>373.53</v>
      </c>
    </row>
    <row r="111" spans="1:9" x14ac:dyDescent="0.3">
      <c r="A111" t="s">
        <v>218</v>
      </c>
      <c r="B111" s="1">
        <v>45408</v>
      </c>
      <c r="C111" t="s">
        <v>17</v>
      </c>
      <c r="D111" t="s">
        <v>11</v>
      </c>
      <c r="E111" t="s">
        <v>48</v>
      </c>
      <c r="F111" t="s">
        <v>219</v>
      </c>
      <c r="G111">
        <v>4163.62</v>
      </c>
      <c r="H111">
        <v>9</v>
      </c>
      <c r="I111">
        <v>1175.54</v>
      </c>
    </row>
    <row r="112" spans="1:9" x14ac:dyDescent="0.3">
      <c r="A112" t="s">
        <v>220</v>
      </c>
      <c r="B112" s="1">
        <v>45846</v>
      </c>
      <c r="C112" t="s">
        <v>25</v>
      </c>
      <c r="D112" t="s">
        <v>32</v>
      </c>
      <c r="E112" t="s">
        <v>33</v>
      </c>
      <c r="F112" t="s">
        <v>65</v>
      </c>
      <c r="G112">
        <v>4059.39</v>
      </c>
      <c r="H112">
        <v>5</v>
      </c>
      <c r="I112">
        <v>926.14</v>
      </c>
    </row>
    <row r="113" spans="1:9" x14ac:dyDescent="0.3">
      <c r="A113" t="s">
        <v>221</v>
      </c>
      <c r="B113" s="1">
        <v>45846</v>
      </c>
      <c r="C113" t="s">
        <v>28</v>
      </c>
      <c r="D113" t="s">
        <v>21</v>
      </c>
      <c r="E113" t="s">
        <v>29</v>
      </c>
      <c r="F113" t="s">
        <v>63</v>
      </c>
      <c r="G113">
        <v>142.91</v>
      </c>
      <c r="H113">
        <v>10</v>
      </c>
      <c r="I113">
        <v>-12.21</v>
      </c>
    </row>
    <row r="114" spans="1:9" x14ac:dyDescent="0.3">
      <c r="A114" t="s">
        <v>222</v>
      </c>
      <c r="B114" s="1">
        <v>45497</v>
      </c>
      <c r="C114" t="s">
        <v>17</v>
      </c>
      <c r="D114" t="s">
        <v>11</v>
      </c>
      <c r="E114" t="s">
        <v>48</v>
      </c>
      <c r="F114" t="s">
        <v>223</v>
      </c>
      <c r="G114">
        <v>2923.57</v>
      </c>
      <c r="H114">
        <v>9</v>
      </c>
      <c r="I114">
        <v>560.04</v>
      </c>
    </row>
    <row r="115" spans="1:9" x14ac:dyDescent="0.3">
      <c r="A115" t="s">
        <v>224</v>
      </c>
      <c r="B115" s="1">
        <v>46020</v>
      </c>
      <c r="C115" t="s">
        <v>10</v>
      </c>
      <c r="D115" t="s">
        <v>11</v>
      </c>
      <c r="E115" t="s">
        <v>18</v>
      </c>
      <c r="F115" t="s">
        <v>168</v>
      </c>
      <c r="G115">
        <v>4731.9799999999996</v>
      </c>
      <c r="H115">
        <v>5</v>
      </c>
      <c r="I115">
        <v>-203.01</v>
      </c>
    </row>
    <row r="116" spans="1:9" x14ac:dyDescent="0.3">
      <c r="A116" t="s">
        <v>225</v>
      </c>
      <c r="B116" s="1">
        <v>45616</v>
      </c>
      <c r="C116" t="s">
        <v>25</v>
      </c>
      <c r="D116" t="s">
        <v>21</v>
      </c>
      <c r="E116" t="s">
        <v>36</v>
      </c>
      <c r="F116" t="s">
        <v>226</v>
      </c>
      <c r="G116">
        <v>1360.72</v>
      </c>
      <c r="H116">
        <v>6</v>
      </c>
      <c r="I116">
        <v>-58.61</v>
      </c>
    </row>
    <row r="117" spans="1:9" x14ac:dyDescent="0.3">
      <c r="A117" t="s">
        <v>227</v>
      </c>
      <c r="B117" s="1">
        <v>45600</v>
      </c>
      <c r="C117" t="s">
        <v>10</v>
      </c>
      <c r="D117" t="s">
        <v>11</v>
      </c>
      <c r="E117" t="s">
        <v>48</v>
      </c>
      <c r="F117" t="s">
        <v>44</v>
      </c>
      <c r="G117">
        <v>3623.15</v>
      </c>
      <c r="H117">
        <v>8</v>
      </c>
      <c r="I117">
        <v>295.18</v>
      </c>
    </row>
    <row r="118" spans="1:9" x14ac:dyDescent="0.3">
      <c r="A118" t="s">
        <v>228</v>
      </c>
      <c r="B118" s="1">
        <v>45347</v>
      </c>
      <c r="C118" t="s">
        <v>28</v>
      </c>
      <c r="D118" t="s">
        <v>32</v>
      </c>
      <c r="E118" t="s">
        <v>33</v>
      </c>
      <c r="F118" t="s">
        <v>229</v>
      </c>
      <c r="G118">
        <v>2534.59</v>
      </c>
      <c r="H118">
        <v>5</v>
      </c>
      <c r="I118">
        <v>-62.96</v>
      </c>
    </row>
    <row r="119" spans="1:9" x14ac:dyDescent="0.3">
      <c r="A119" t="s">
        <v>230</v>
      </c>
      <c r="B119" s="1">
        <v>45643</v>
      </c>
      <c r="C119" t="s">
        <v>10</v>
      </c>
      <c r="D119" t="s">
        <v>21</v>
      </c>
      <c r="E119" t="s">
        <v>36</v>
      </c>
      <c r="F119" t="s">
        <v>84</v>
      </c>
      <c r="G119">
        <v>899.35</v>
      </c>
      <c r="H119">
        <v>9</v>
      </c>
      <c r="I119">
        <v>172.69</v>
      </c>
    </row>
    <row r="120" spans="1:9" x14ac:dyDescent="0.3">
      <c r="A120" t="s">
        <v>231</v>
      </c>
      <c r="B120" s="1">
        <v>45421</v>
      </c>
      <c r="C120" t="s">
        <v>17</v>
      </c>
      <c r="D120" t="s">
        <v>11</v>
      </c>
      <c r="E120" t="s">
        <v>12</v>
      </c>
      <c r="F120" t="s">
        <v>232</v>
      </c>
      <c r="G120">
        <v>4908.71</v>
      </c>
      <c r="H120">
        <v>5</v>
      </c>
      <c r="I120">
        <v>167.08</v>
      </c>
    </row>
    <row r="121" spans="1:9" x14ac:dyDescent="0.3">
      <c r="A121" t="s">
        <v>233</v>
      </c>
      <c r="B121" s="1">
        <v>45377</v>
      </c>
      <c r="C121" t="s">
        <v>28</v>
      </c>
      <c r="D121" t="s">
        <v>21</v>
      </c>
      <c r="E121" t="s">
        <v>36</v>
      </c>
      <c r="F121" t="s">
        <v>76</v>
      </c>
      <c r="G121">
        <v>1482.4</v>
      </c>
      <c r="H121">
        <v>8</v>
      </c>
      <c r="I121">
        <v>368.63</v>
      </c>
    </row>
    <row r="122" spans="1:9" x14ac:dyDescent="0.3">
      <c r="A122" t="s">
        <v>234</v>
      </c>
      <c r="B122" s="1">
        <v>45299</v>
      </c>
      <c r="C122" t="s">
        <v>28</v>
      </c>
      <c r="D122" t="s">
        <v>32</v>
      </c>
      <c r="E122" t="s">
        <v>33</v>
      </c>
      <c r="F122" t="s">
        <v>207</v>
      </c>
      <c r="G122">
        <v>2065.91</v>
      </c>
      <c r="H122">
        <v>6</v>
      </c>
      <c r="I122">
        <v>113.78</v>
      </c>
    </row>
    <row r="123" spans="1:9" x14ac:dyDescent="0.3">
      <c r="A123" t="s">
        <v>235</v>
      </c>
      <c r="B123" s="1">
        <v>45537</v>
      </c>
      <c r="C123" t="s">
        <v>25</v>
      </c>
      <c r="D123" t="s">
        <v>11</v>
      </c>
      <c r="E123" t="s">
        <v>18</v>
      </c>
      <c r="F123" t="s">
        <v>184</v>
      </c>
      <c r="G123">
        <v>4167.93</v>
      </c>
      <c r="H123">
        <v>9</v>
      </c>
      <c r="I123">
        <v>1150.21</v>
      </c>
    </row>
    <row r="124" spans="1:9" x14ac:dyDescent="0.3">
      <c r="A124" t="s">
        <v>236</v>
      </c>
      <c r="B124" s="1">
        <v>45590</v>
      </c>
      <c r="C124" t="s">
        <v>17</v>
      </c>
      <c r="D124" t="s">
        <v>21</v>
      </c>
      <c r="E124" t="s">
        <v>29</v>
      </c>
      <c r="F124" t="s">
        <v>237</v>
      </c>
      <c r="G124">
        <v>3627.27</v>
      </c>
      <c r="H124">
        <v>9</v>
      </c>
      <c r="I124">
        <v>-175.89</v>
      </c>
    </row>
    <row r="125" spans="1:9" x14ac:dyDescent="0.3">
      <c r="A125" t="s">
        <v>238</v>
      </c>
      <c r="B125" s="1">
        <v>45310</v>
      </c>
      <c r="C125" t="s">
        <v>17</v>
      </c>
      <c r="D125" t="s">
        <v>32</v>
      </c>
      <c r="E125" t="s">
        <v>73</v>
      </c>
      <c r="F125" t="s">
        <v>239</v>
      </c>
      <c r="G125">
        <v>2359.4499999999998</v>
      </c>
      <c r="H125">
        <v>2</v>
      </c>
      <c r="I125">
        <v>473.23</v>
      </c>
    </row>
    <row r="126" spans="1:9" x14ac:dyDescent="0.3">
      <c r="A126" t="s">
        <v>240</v>
      </c>
      <c r="B126" s="1">
        <v>45472</v>
      </c>
      <c r="C126" t="s">
        <v>17</v>
      </c>
      <c r="D126" t="s">
        <v>32</v>
      </c>
      <c r="E126" t="s">
        <v>39</v>
      </c>
      <c r="F126" t="s">
        <v>229</v>
      </c>
      <c r="G126">
        <v>2258.2600000000002</v>
      </c>
      <c r="H126">
        <v>1</v>
      </c>
      <c r="I126">
        <v>-135.03</v>
      </c>
    </row>
    <row r="127" spans="1:9" x14ac:dyDescent="0.3">
      <c r="A127" t="s">
        <v>241</v>
      </c>
      <c r="B127" s="1">
        <v>45445</v>
      </c>
      <c r="C127" t="s">
        <v>17</v>
      </c>
      <c r="D127" t="s">
        <v>32</v>
      </c>
      <c r="E127" t="s">
        <v>33</v>
      </c>
      <c r="F127" t="s">
        <v>242</v>
      </c>
      <c r="G127">
        <v>621.30999999999995</v>
      </c>
      <c r="H127">
        <v>3</v>
      </c>
      <c r="I127">
        <v>155.58000000000001</v>
      </c>
    </row>
    <row r="128" spans="1:9" x14ac:dyDescent="0.3">
      <c r="A128" t="s">
        <v>243</v>
      </c>
      <c r="B128" s="1">
        <v>45454</v>
      </c>
      <c r="C128" t="s">
        <v>17</v>
      </c>
      <c r="D128" t="s">
        <v>21</v>
      </c>
      <c r="E128" t="s">
        <v>36</v>
      </c>
      <c r="F128" t="s">
        <v>244</v>
      </c>
      <c r="G128">
        <v>1811.72</v>
      </c>
      <c r="H128">
        <v>8</v>
      </c>
      <c r="I128">
        <v>540</v>
      </c>
    </row>
    <row r="129" spans="1:9" x14ac:dyDescent="0.3">
      <c r="A129" t="s">
        <v>245</v>
      </c>
      <c r="B129" s="1">
        <v>45327</v>
      </c>
      <c r="C129" t="s">
        <v>25</v>
      </c>
      <c r="D129" t="s">
        <v>11</v>
      </c>
      <c r="E129" t="s">
        <v>48</v>
      </c>
      <c r="F129" t="s">
        <v>246</v>
      </c>
      <c r="G129">
        <v>1511.67</v>
      </c>
      <c r="H129">
        <v>6</v>
      </c>
      <c r="I129">
        <v>142.44999999999999</v>
      </c>
    </row>
    <row r="130" spans="1:9" x14ac:dyDescent="0.3">
      <c r="A130" t="s">
        <v>247</v>
      </c>
      <c r="B130" s="1">
        <v>46013</v>
      </c>
      <c r="C130" t="s">
        <v>17</v>
      </c>
      <c r="D130" t="s">
        <v>21</v>
      </c>
      <c r="E130" t="s">
        <v>29</v>
      </c>
      <c r="F130" t="s">
        <v>248</v>
      </c>
      <c r="G130">
        <v>4738.6000000000004</v>
      </c>
      <c r="H130">
        <v>1</v>
      </c>
      <c r="I130">
        <v>908.62</v>
      </c>
    </row>
    <row r="131" spans="1:9" x14ac:dyDescent="0.3">
      <c r="A131" t="s">
        <v>249</v>
      </c>
      <c r="B131" s="1">
        <v>45684</v>
      </c>
      <c r="C131" t="s">
        <v>25</v>
      </c>
      <c r="D131" t="s">
        <v>32</v>
      </c>
      <c r="E131" t="s">
        <v>39</v>
      </c>
      <c r="F131" t="s">
        <v>229</v>
      </c>
      <c r="G131">
        <v>1697.59</v>
      </c>
      <c r="H131">
        <v>8</v>
      </c>
      <c r="I131">
        <v>-61.64</v>
      </c>
    </row>
    <row r="132" spans="1:9" x14ac:dyDescent="0.3">
      <c r="A132" t="s">
        <v>250</v>
      </c>
      <c r="B132" s="1">
        <v>45340</v>
      </c>
      <c r="C132" t="s">
        <v>28</v>
      </c>
      <c r="D132" t="s">
        <v>32</v>
      </c>
      <c r="E132" t="s">
        <v>33</v>
      </c>
      <c r="F132" t="s">
        <v>113</v>
      </c>
      <c r="G132">
        <v>1381.47</v>
      </c>
      <c r="H132">
        <v>7</v>
      </c>
      <c r="I132">
        <v>300.14999999999998</v>
      </c>
    </row>
    <row r="133" spans="1:9" x14ac:dyDescent="0.3">
      <c r="A133" t="s">
        <v>251</v>
      </c>
      <c r="B133" s="1">
        <v>45833</v>
      </c>
      <c r="C133" t="s">
        <v>17</v>
      </c>
      <c r="D133" t="s">
        <v>32</v>
      </c>
      <c r="E133" t="s">
        <v>39</v>
      </c>
      <c r="F133" t="s">
        <v>252</v>
      </c>
      <c r="G133">
        <v>4746.2700000000004</v>
      </c>
      <c r="H133">
        <v>10</v>
      </c>
      <c r="I133">
        <v>845.42</v>
      </c>
    </row>
    <row r="134" spans="1:9" x14ac:dyDescent="0.3">
      <c r="A134" t="s">
        <v>253</v>
      </c>
      <c r="B134" s="1">
        <v>45830</v>
      </c>
      <c r="C134" t="s">
        <v>10</v>
      </c>
      <c r="D134" t="s">
        <v>32</v>
      </c>
      <c r="E134" t="s">
        <v>33</v>
      </c>
      <c r="F134" t="s">
        <v>117</v>
      </c>
      <c r="G134">
        <v>4214.5</v>
      </c>
      <c r="H134">
        <v>3</v>
      </c>
      <c r="I134">
        <v>595.82000000000005</v>
      </c>
    </row>
    <row r="135" spans="1:9" x14ac:dyDescent="0.3">
      <c r="A135" t="s">
        <v>254</v>
      </c>
      <c r="B135" s="1">
        <v>45689</v>
      </c>
      <c r="C135" t="s">
        <v>17</v>
      </c>
      <c r="D135" t="s">
        <v>21</v>
      </c>
      <c r="E135" t="s">
        <v>29</v>
      </c>
      <c r="F135" t="s">
        <v>154</v>
      </c>
      <c r="G135">
        <v>3582.02</v>
      </c>
      <c r="H135">
        <v>2</v>
      </c>
      <c r="I135">
        <v>334.9</v>
      </c>
    </row>
    <row r="136" spans="1:9" x14ac:dyDescent="0.3">
      <c r="A136" t="s">
        <v>255</v>
      </c>
      <c r="B136" s="1">
        <v>45511</v>
      </c>
      <c r="C136" t="s">
        <v>25</v>
      </c>
      <c r="D136" t="s">
        <v>32</v>
      </c>
      <c r="E136" t="s">
        <v>73</v>
      </c>
      <c r="F136" t="s">
        <v>135</v>
      </c>
      <c r="G136">
        <v>2486.7199999999998</v>
      </c>
      <c r="H136">
        <v>5</v>
      </c>
      <c r="I136">
        <v>244.39</v>
      </c>
    </row>
    <row r="137" spans="1:9" x14ac:dyDescent="0.3">
      <c r="A137" t="s">
        <v>256</v>
      </c>
      <c r="B137" s="1">
        <v>46009</v>
      </c>
      <c r="C137" t="s">
        <v>25</v>
      </c>
      <c r="D137" t="s">
        <v>21</v>
      </c>
      <c r="E137" t="s">
        <v>36</v>
      </c>
      <c r="F137" t="s">
        <v>257</v>
      </c>
      <c r="G137">
        <v>1958.61</v>
      </c>
      <c r="H137">
        <v>7</v>
      </c>
      <c r="I137">
        <v>367.53</v>
      </c>
    </row>
    <row r="138" spans="1:9" x14ac:dyDescent="0.3">
      <c r="A138" t="s">
        <v>258</v>
      </c>
      <c r="B138" s="1">
        <v>45445</v>
      </c>
      <c r="C138" t="s">
        <v>28</v>
      </c>
      <c r="D138" t="s">
        <v>11</v>
      </c>
      <c r="E138" t="s">
        <v>12</v>
      </c>
      <c r="F138" t="s">
        <v>101</v>
      </c>
      <c r="G138">
        <v>4087.42</v>
      </c>
      <c r="H138">
        <v>10</v>
      </c>
      <c r="I138">
        <v>-62.79</v>
      </c>
    </row>
    <row r="139" spans="1:9" x14ac:dyDescent="0.3">
      <c r="A139" t="s">
        <v>259</v>
      </c>
      <c r="B139" s="1">
        <v>45558</v>
      </c>
      <c r="C139" t="s">
        <v>25</v>
      </c>
      <c r="D139" t="s">
        <v>11</v>
      </c>
      <c r="E139" t="s">
        <v>18</v>
      </c>
      <c r="F139" t="s">
        <v>171</v>
      </c>
      <c r="G139">
        <v>988.03</v>
      </c>
      <c r="H139">
        <v>10</v>
      </c>
      <c r="I139">
        <v>154.96</v>
      </c>
    </row>
    <row r="140" spans="1:9" x14ac:dyDescent="0.3">
      <c r="A140" t="s">
        <v>260</v>
      </c>
      <c r="B140" s="1">
        <v>45355</v>
      </c>
      <c r="C140" t="s">
        <v>25</v>
      </c>
      <c r="D140" t="s">
        <v>21</v>
      </c>
      <c r="E140" t="s">
        <v>29</v>
      </c>
      <c r="F140" t="s">
        <v>261</v>
      </c>
      <c r="G140">
        <v>68.09</v>
      </c>
      <c r="H140">
        <v>10</v>
      </c>
      <c r="I140">
        <v>-5.47</v>
      </c>
    </row>
    <row r="141" spans="1:9" x14ac:dyDescent="0.3">
      <c r="A141" t="s">
        <v>262</v>
      </c>
      <c r="B141" s="1">
        <v>45923</v>
      </c>
      <c r="C141" t="s">
        <v>28</v>
      </c>
      <c r="D141" t="s">
        <v>21</v>
      </c>
      <c r="E141" t="s">
        <v>22</v>
      </c>
      <c r="F141" t="s">
        <v>263</v>
      </c>
      <c r="G141">
        <v>4323.3599999999997</v>
      </c>
      <c r="H141">
        <v>5</v>
      </c>
      <c r="I141">
        <v>343.32</v>
      </c>
    </row>
    <row r="142" spans="1:9" x14ac:dyDescent="0.3">
      <c r="A142" t="s">
        <v>264</v>
      </c>
      <c r="B142" s="1">
        <v>45324</v>
      </c>
      <c r="C142" t="s">
        <v>17</v>
      </c>
      <c r="D142" t="s">
        <v>32</v>
      </c>
      <c r="E142" t="s">
        <v>33</v>
      </c>
      <c r="F142" t="s">
        <v>265</v>
      </c>
      <c r="G142">
        <v>616.41999999999996</v>
      </c>
      <c r="H142">
        <v>4</v>
      </c>
      <c r="I142">
        <v>151.54</v>
      </c>
    </row>
    <row r="143" spans="1:9" x14ac:dyDescent="0.3">
      <c r="A143" t="s">
        <v>266</v>
      </c>
      <c r="B143" s="1">
        <v>45643</v>
      </c>
      <c r="C143" t="s">
        <v>28</v>
      </c>
      <c r="D143" t="s">
        <v>32</v>
      </c>
      <c r="E143" t="s">
        <v>39</v>
      </c>
      <c r="F143" t="s">
        <v>267</v>
      </c>
      <c r="G143">
        <v>1079.5</v>
      </c>
      <c r="H143">
        <v>10</v>
      </c>
      <c r="I143">
        <v>51.41</v>
      </c>
    </row>
    <row r="144" spans="1:9" x14ac:dyDescent="0.3">
      <c r="A144" t="s">
        <v>268</v>
      </c>
      <c r="B144" s="1">
        <v>45791</v>
      </c>
      <c r="C144" t="s">
        <v>17</v>
      </c>
      <c r="D144" t="s">
        <v>32</v>
      </c>
      <c r="E144" t="s">
        <v>39</v>
      </c>
      <c r="F144" t="s">
        <v>78</v>
      </c>
      <c r="G144">
        <v>1717.59</v>
      </c>
      <c r="H144">
        <v>3</v>
      </c>
      <c r="I144">
        <v>483.91</v>
      </c>
    </row>
    <row r="145" spans="1:9" x14ac:dyDescent="0.3">
      <c r="A145" t="s">
        <v>269</v>
      </c>
      <c r="B145" s="1">
        <v>45594</v>
      </c>
      <c r="C145" t="s">
        <v>10</v>
      </c>
      <c r="D145" t="s">
        <v>11</v>
      </c>
      <c r="E145" t="s">
        <v>48</v>
      </c>
      <c r="F145" t="s">
        <v>270</v>
      </c>
      <c r="G145">
        <v>3630.9</v>
      </c>
      <c r="H145">
        <v>4</v>
      </c>
      <c r="I145">
        <v>120.9</v>
      </c>
    </row>
    <row r="146" spans="1:9" x14ac:dyDescent="0.3">
      <c r="A146" t="s">
        <v>271</v>
      </c>
      <c r="B146" s="1">
        <v>45817</v>
      </c>
      <c r="C146" t="s">
        <v>25</v>
      </c>
      <c r="D146" t="s">
        <v>32</v>
      </c>
      <c r="E146" t="s">
        <v>73</v>
      </c>
      <c r="F146" t="s">
        <v>63</v>
      </c>
      <c r="G146">
        <v>450.16</v>
      </c>
      <c r="H146">
        <v>10</v>
      </c>
      <c r="I146">
        <v>60.17</v>
      </c>
    </row>
    <row r="147" spans="1:9" x14ac:dyDescent="0.3">
      <c r="A147" t="s">
        <v>272</v>
      </c>
      <c r="B147" s="1">
        <v>45404</v>
      </c>
      <c r="C147" t="s">
        <v>10</v>
      </c>
      <c r="D147" t="s">
        <v>11</v>
      </c>
      <c r="E147" t="s">
        <v>48</v>
      </c>
      <c r="F147" t="s">
        <v>55</v>
      </c>
      <c r="G147">
        <v>2453.3000000000002</v>
      </c>
      <c r="H147">
        <v>4</v>
      </c>
      <c r="I147">
        <v>323.83</v>
      </c>
    </row>
    <row r="148" spans="1:9" x14ac:dyDescent="0.3">
      <c r="A148" t="s">
        <v>273</v>
      </c>
      <c r="B148" s="1">
        <v>45649</v>
      </c>
      <c r="C148" t="s">
        <v>10</v>
      </c>
      <c r="D148" t="s">
        <v>11</v>
      </c>
      <c r="E148" t="s">
        <v>12</v>
      </c>
      <c r="F148" t="s">
        <v>88</v>
      </c>
      <c r="G148">
        <v>672.32</v>
      </c>
      <c r="H148">
        <v>4</v>
      </c>
      <c r="I148">
        <v>-18.77</v>
      </c>
    </row>
    <row r="149" spans="1:9" x14ac:dyDescent="0.3">
      <c r="A149" t="s">
        <v>274</v>
      </c>
      <c r="B149" s="1">
        <v>45834</v>
      </c>
      <c r="C149" t="s">
        <v>28</v>
      </c>
      <c r="D149" t="s">
        <v>32</v>
      </c>
      <c r="E149" t="s">
        <v>73</v>
      </c>
      <c r="F149" t="s">
        <v>275</v>
      </c>
      <c r="G149">
        <v>4749.3599999999997</v>
      </c>
      <c r="H149">
        <v>8</v>
      </c>
      <c r="I149">
        <v>-255.26</v>
      </c>
    </row>
    <row r="150" spans="1:9" x14ac:dyDescent="0.3">
      <c r="A150" t="s">
        <v>276</v>
      </c>
      <c r="B150" s="1">
        <v>45985</v>
      </c>
      <c r="C150" t="s">
        <v>17</v>
      </c>
      <c r="D150" t="s">
        <v>21</v>
      </c>
      <c r="E150" t="s">
        <v>36</v>
      </c>
      <c r="F150" t="s">
        <v>144</v>
      </c>
      <c r="G150">
        <v>900.5</v>
      </c>
      <c r="H150">
        <v>9</v>
      </c>
      <c r="I150">
        <v>139.82</v>
      </c>
    </row>
    <row r="151" spans="1:9" x14ac:dyDescent="0.3">
      <c r="A151" t="s">
        <v>277</v>
      </c>
      <c r="B151" s="1">
        <v>45961</v>
      </c>
      <c r="C151" t="s">
        <v>25</v>
      </c>
      <c r="D151" t="s">
        <v>11</v>
      </c>
      <c r="E151" t="s">
        <v>12</v>
      </c>
      <c r="F151" t="s">
        <v>70</v>
      </c>
      <c r="G151">
        <v>3918.7</v>
      </c>
      <c r="H151">
        <v>2</v>
      </c>
      <c r="I151">
        <v>754.16</v>
      </c>
    </row>
    <row r="152" spans="1:9" x14ac:dyDescent="0.3">
      <c r="A152" t="s">
        <v>278</v>
      </c>
      <c r="B152" s="1">
        <v>45393</v>
      </c>
      <c r="C152" t="s">
        <v>25</v>
      </c>
      <c r="D152" t="s">
        <v>11</v>
      </c>
      <c r="E152" t="s">
        <v>18</v>
      </c>
      <c r="F152" t="s">
        <v>279</v>
      </c>
      <c r="G152">
        <v>3496.19</v>
      </c>
      <c r="H152">
        <v>9</v>
      </c>
      <c r="I152">
        <v>465.53</v>
      </c>
    </row>
    <row r="153" spans="1:9" x14ac:dyDescent="0.3">
      <c r="A153" t="s">
        <v>280</v>
      </c>
      <c r="B153" s="1">
        <v>45659</v>
      </c>
      <c r="C153" t="s">
        <v>28</v>
      </c>
      <c r="D153" t="s">
        <v>32</v>
      </c>
      <c r="E153" t="s">
        <v>39</v>
      </c>
      <c r="F153" t="s">
        <v>248</v>
      </c>
      <c r="G153">
        <v>4421.07</v>
      </c>
      <c r="H153">
        <v>1</v>
      </c>
      <c r="I153">
        <v>1301.08</v>
      </c>
    </row>
    <row r="154" spans="1:9" x14ac:dyDescent="0.3">
      <c r="A154" t="s">
        <v>281</v>
      </c>
      <c r="B154" s="1">
        <v>45415</v>
      </c>
      <c r="C154" t="s">
        <v>10</v>
      </c>
      <c r="D154" t="s">
        <v>21</v>
      </c>
      <c r="E154" t="s">
        <v>22</v>
      </c>
      <c r="F154" t="s">
        <v>82</v>
      </c>
      <c r="G154">
        <v>1385.39</v>
      </c>
      <c r="H154">
        <v>1</v>
      </c>
      <c r="I154">
        <v>176.91</v>
      </c>
    </row>
    <row r="155" spans="1:9" x14ac:dyDescent="0.3">
      <c r="A155" t="s">
        <v>282</v>
      </c>
      <c r="B155" s="1">
        <v>45490</v>
      </c>
      <c r="C155" t="s">
        <v>10</v>
      </c>
      <c r="D155" t="s">
        <v>32</v>
      </c>
      <c r="E155" t="s">
        <v>39</v>
      </c>
      <c r="F155" t="s">
        <v>283</v>
      </c>
      <c r="G155">
        <v>1008.49</v>
      </c>
      <c r="H155">
        <v>9</v>
      </c>
      <c r="I155">
        <v>243.81</v>
      </c>
    </row>
    <row r="156" spans="1:9" x14ac:dyDescent="0.3">
      <c r="A156" t="s">
        <v>284</v>
      </c>
      <c r="B156" s="1">
        <v>45648</v>
      </c>
      <c r="C156" t="s">
        <v>28</v>
      </c>
      <c r="D156" t="s">
        <v>21</v>
      </c>
      <c r="E156" t="s">
        <v>36</v>
      </c>
      <c r="F156" t="s">
        <v>166</v>
      </c>
      <c r="G156">
        <v>1968.68</v>
      </c>
      <c r="H156">
        <v>7</v>
      </c>
      <c r="I156">
        <v>297.56</v>
      </c>
    </row>
    <row r="157" spans="1:9" x14ac:dyDescent="0.3">
      <c r="A157" t="s">
        <v>285</v>
      </c>
      <c r="B157" s="1">
        <v>45792</v>
      </c>
      <c r="C157" t="s">
        <v>25</v>
      </c>
      <c r="D157" t="s">
        <v>21</v>
      </c>
      <c r="E157" t="s">
        <v>22</v>
      </c>
      <c r="F157" t="s">
        <v>207</v>
      </c>
      <c r="G157">
        <v>1882.71</v>
      </c>
      <c r="H157">
        <v>8</v>
      </c>
      <c r="I157">
        <v>-171.32</v>
      </c>
    </row>
    <row r="158" spans="1:9" x14ac:dyDescent="0.3">
      <c r="A158" t="s">
        <v>286</v>
      </c>
      <c r="B158" s="1">
        <v>45623</v>
      </c>
      <c r="C158" t="s">
        <v>17</v>
      </c>
      <c r="D158" t="s">
        <v>21</v>
      </c>
      <c r="E158" t="s">
        <v>29</v>
      </c>
      <c r="F158" t="s">
        <v>13</v>
      </c>
      <c r="G158">
        <v>1682.96</v>
      </c>
      <c r="H158">
        <v>9</v>
      </c>
      <c r="I158">
        <v>262.77999999999997</v>
      </c>
    </row>
    <row r="159" spans="1:9" x14ac:dyDescent="0.3">
      <c r="A159" t="s">
        <v>287</v>
      </c>
      <c r="B159" s="1">
        <v>45558</v>
      </c>
      <c r="C159" t="s">
        <v>17</v>
      </c>
      <c r="D159" t="s">
        <v>21</v>
      </c>
      <c r="E159" t="s">
        <v>36</v>
      </c>
      <c r="F159" t="s">
        <v>288</v>
      </c>
      <c r="G159">
        <v>3885.02</v>
      </c>
      <c r="H159">
        <v>7</v>
      </c>
      <c r="I159">
        <v>1063.54</v>
      </c>
    </row>
    <row r="160" spans="1:9" x14ac:dyDescent="0.3">
      <c r="A160" t="s">
        <v>289</v>
      </c>
      <c r="B160" s="1">
        <v>45783</v>
      </c>
      <c r="C160" t="s">
        <v>25</v>
      </c>
      <c r="D160" t="s">
        <v>32</v>
      </c>
      <c r="E160" t="s">
        <v>73</v>
      </c>
      <c r="F160" t="s">
        <v>99</v>
      </c>
      <c r="G160">
        <v>4867.0600000000004</v>
      </c>
      <c r="H160">
        <v>5</v>
      </c>
      <c r="I160">
        <v>415.46</v>
      </c>
    </row>
    <row r="161" spans="1:9" x14ac:dyDescent="0.3">
      <c r="A161" t="s">
        <v>290</v>
      </c>
      <c r="B161" s="1">
        <v>45413</v>
      </c>
      <c r="C161" t="s">
        <v>10</v>
      </c>
      <c r="D161" t="s">
        <v>21</v>
      </c>
      <c r="E161" t="s">
        <v>22</v>
      </c>
      <c r="F161" t="s">
        <v>133</v>
      </c>
      <c r="G161">
        <v>1569.19</v>
      </c>
      <c r="H161">
        <v>6</v>
      </c>
      <c r="I161">
        <v>272.8</v>
      </c>
    </row>
    <row r="162" spans="1:9" x14ac:dyDescent="0.3">
      <c r="A162" t="s">
        <v>291</v>
      </c>
      <c r="B162" s="1">
        <v>45763</v>
      </c>
      <c r="C162" t="s">
        <v>28</v>
      </c>
      <c r="D162" t="s">
        <v>32</v>
      </c>
      <c r="E162" t="s">
        <v>39</v>
      </c>
      <c r="F162" t="s">
        <v>90</v>
      </c>
      <c r="G162">
        <v>2324.66</v>
      </c>
      <c r="H162">
        <v>7</v>
      </c>
      <c r="I162">
        <v>-114.86</v>
      </c>
    </row>
    <row r="163" spans="1:9" x14ac:dyDescent="0.3">
      <c r="A163" t="s">
        <v>292</v>
      </c>
      <c r="B163" s="1">
        <v>45652</v>
      </c>
      <c r="C163" t="s">
        <v>17</v>
      </c>
      <c r="D163" t="s">
        <v>32</v>
      </c>
      <c r="E163" t="s">
        <v>33</v>
      </c>
      <c r="F163" t="s">
        <v>215</v>
      </c>
      <c r="G163">
        <v>4918.13</v>
      </c>
      <c r="H163">
        <v>4</v>
      </c>
      <c r="I163">
        <v>972.8</v>
      </c>
    </row>
    <row r="164" spans="1:9" x14ac:dyDescent="0.3">
      <c r="A164" t="s">
        <v>293</v>
      </c>
      <c r="B164" s="1">
        <v>45518</v>
      </c>
      <c r="C164" t="s">
        <v>25</v>
      </c>
      <c r="D164" t="s">
        <v>11</v>
      </c>
      <c r="E164" t="s">
        <v>12</v>
      </c>
      <c r="F164" t="s">
        <v>294</v>
      </c>
      <c r="G164">
        <v>874.68</v>
      </c>
      <c r="H164">
        <v>2</v>
      </c>
      <c r="I164">
        <v>-44.86</v>
      </c>
    </row>
    <row r="165" spans="1:9" x14ac:dyDescent="0.3">
      <c r="A165" t="s">
        <v>295</v>
      </c>
      <c r="B165" s="1">
        <v>45766</v>
      </c>
      <c r="C165" t="s">
        <v>25</v>
      </c>
      <c r="D165" t="s">
        <v>32</v>
      </c>
      <c r="E165" t="s">
        <v>73</v>
      </c>
      <c r="F165" t="s">
        <v>296</v>
      </c>
      <c r="G165">
        <v>372.38</v>
      </c>
      <c r="H165">
        <v>1</v>
      </c>
      <c r="I165">
        <v>66.37</v>
      </c>
    </row>
    <row r="166" spans="1:9" x14ac:dyDescent="0.3">
      <c r="A166" t="s">
        <v>297</v>
      </c>
      <c r="B166" s="1">
        <v>45428</v>
      </c>
      <c r="C166" t="s">
        <v>28</v>
      </c>
      <c r="D166" t="s">
        <v>21</v>
      </c>
      <c r="E166" t="s">
        <v>36</v>
      </c>
      <c r="F166" t="s">
        <v>298</v>
      </c>
      <c r="G166">
        <v>706.92</v>
      </c>
      <c r="H166">
        <v>1</v>
      </c>
      <c r="I166">
        <v>150.88</v>
      </c>
    </row>
    <row r="167" spans="1:9" x14ac:dyDescent="0.3">
      <c r="A167" t="s">
        <v>299</v>
      </c>
      <c r="B167" s="1">
        <v>45933</v>
      </c>
      <c r="C167" t="s">
        <v>17</v>
      </c>
      <c r="D167" t="s">
        <v>11</v>
      </c>
      <c r="E167" t="s">
        <v>48</v>
      </c>
      <c r="F167" t="s">
        <v>168</v>
      </c>
      <c r="G167">
        <v>2984.05</v>
      </c>
      <c r="H167">
        <v>4</v>
      </c>
      <c r="I167">
        <v>-228.1</v>
      </c>
    </row>
    <row r="168" spans="1:9" x14ac:dyDescent="0.3">
      <c r="A168" t="s">
        <v>300</v>
      </c>
      <c r="B168" s="1">
        <v>45299</v>
      </c>
      <c r="C168" t="s">
        <v>17</v>
      </c>
      <c r="D168" t="s">
        <v>32</v>
      </c>
      <c r="E168" t="s">
        <v>39</v>
      </c>
      <c r="F168" t="s">
        <v>171</v>
      </c>
      <c r="G168">
        <v>1345.82</v>
      </c>
      <c r="H168">
        <v>5</v>
      </c>
      <c r="I168">
        <v>148.28</v>
      </c>
    </row>
    <row r="169" spans="1:9" x14ac:dyDescent="0.3">
      <c r="A169" t="s">
        <v>301</v>
      </c>
      <c r="B169" s="1">
        <v>45969</v>
      </c>
      <c r="C169" t="s">
        <v>25</v>
      </c>
      <c r="D169" t="s">
        <v>21</v>
      </c>
      <c r="E169" t="s">
        <v>22</v>
      </c>
      <c r="F169" t="s">
        <v>105</v>
      </c>
      <c r="G169">
        <v>358.54</v>
      </c>
      <c r="H169">
        <v>2</v>
      </c>
      <c r="I169">
        <v>68.47</v>
      </c>
    </row>
    <row r="170" spans="1:9" x14ac:dyDescent="0.3">
      <c r="A170" t="s">
        <v>302</v>
      </c>
      <c r="B170" s="1">
        <v>45779</v>
      </c>
      <c r="C170" t="s">
        <v>17</v>
      </c>
      <c r="D170" t="s">
        <v>21</v>
      </c>
      <c r="E170" t="s">
        <v>22</v>
      </c>
      <c r="F170" t="s">
        <v>65</v>
      </c>
      <c r="G170">
        <v>2885.47</v>
      </c>
      <c r="H170">
        <v>5</v>
      </c>
      <c r="I170">
        <v>859.9</v>
      </c>
    </row>
    <row r="171" spans="1:9" x14ac:dyDescent="0.3">
      <c r="A171" t="s">
        <v>303</v>
      </c>
      <c r="B171" s="1">
        <v>45367</v>
      </c>
      <c r="C171" t="s">
        <v>25</v>
      </c>
      <c r="D171" t="s">
        <v>32</v>
      </c>
      <c r="E171" t="s">
        <v>73</v>
      </c>
      <c r="F171" t="s">
        <v>223</v>
      </c>
      <c r="G171">
        <v>4921.8900000000003</v>
      </c>
      <c r="H171">
        <v>1</v>
      </c>
      <c r="I171">
        <v>1290.49</v>
      </c>
    </row>
    <row r="172" spans="1:9" x14ac:dyDescent="0.3">
      <c r="A172" t="s">
        <v>304</v>
      </c>
      <c r="B172" s="1">
        <v>45634</v>
      </c>
      <c r="C172" t="s">
        <v>25</v>
      </c>
      <c r="D172" t="s">
        <v>11</v>
      </c>
      <c r="E172" t="s">
        <v>48</v>
      </c>
      <c r="F172" t="s">
        <v>305</v>
      </c>
      <c r="G172">
        <v>1959.56</v>
      </c>
      <c r="H172">
        <v>6</v>
      </c>
      <c r="I172">
        <v>508.54</v>
      </c>
    </row>
    <row r="173" spans="1:9" x14ac:dyDescent="0.3">
      <c r="A173" t="s">
        <v>306</v>
      </c>
      <c r="B173" s="1">
        <v>45647</v>
      </c>
      <c r="C173" t="s">
        <v>28</v>
      </c>
      <c r="D173" t="s">
        <v>11</v>
      </c>
      <c r="E173" t="s">
        <v>18</v>
      </c>
      <c r="F173" t="s">
        <v>202</v>
      </c>
      <c r="G173">
        <v>2269.0500000000002</v>
      </c>
      <c r="H173">
        <v>9</v>
      </c>
      <c r="I173">
        <v>-65.790000000000006</v>
      </c>
    </row>
    <row r="174" spans="1:9" x14ac:dyDescent="0.3">
      <c r="A174" t="s">
        <v>307</v>
      </c>
      <c r="B174" s="1">
        <v>45450</v>
      </c>
      <c r="C174" t="s">
        <v>25</v>
      </c>
      <c r="D174" t="s">
        <v>21</v>
      </c>
      <c r="E174" t="s">
        <v>36</v>
      </c>
      <c r="F174" t="s">
        <v>63</v>
      </c>
      <c r="G174">
        <v>2105.4899999999998</v>
      </c>
      <c r="H174">
        <v>10</v>
      </c>
      <c r="I174">
        <v>223.84</v>
      </c>
    </row>
    <row r="175" spans="1:9" x14ac:dyDescent="0.3">
      <c r="A175" t="s">
        <v>308</v>
      </c>
      <c r="B175" s="1">
        <v>45976</v>
      </c>
      <c r="C175" t="s">
        <v>17</v>
      </c>
      <c r="D175" t="s">
        <v>11</v>
      </c>
      <c r="E175" t="s">
        <v>12</v>
      </c>
      <c r="F175" t="s">
        <v>309</v>
      </c>
      <c r="G175">
        <v>4825.7299999999996</v>
      </c>
      <c r="H175">
        <v>4</v>
      </c>
      <c r="I175">
        <v>542.16</v>
      </c>
    </row>
    <row r="176" spans="1:9" x14ac:dyDescent="0.3">
      <c r="A176" t="s">
        <v>310</v>
      </c>
      <c r="B176" s="1">
        <v>45578</v>
      </c>
      <c r="C176" t="s">
        <v>10</v>
      </c>
      <c r="D176" t="s">
        <v>32</v>
      </c>
      <c r="E176" t="s">
        <v>73</v>
      </c>
      <c r="F176" t="s">
        <v>311</v>
      </c>
      <c r="G176">
        <v>1076.99</v>
      </c>
      <c r="H176">
        <v>7</v>
      </c>
      <c r="I176">
        <v>257.55</v>
      </c>
    </row>
    <row r="177" spans="1:9" x14ac:dyDescent="0.3">
      <c r="A177" t="s">
        <v>312</v>
      </c>
      <c r="B177" s="1">
        <v>45872</v>
      </c>
      <c r="C177" t="s">
        <v>10</v>
      </c>
      <c r="D177" t="s">
        <v>11</v>
      </c>
      <c r="E177" t="s">
        <v>48</v>
      </c>
      <c r="F177" t="s">
        <v>313</v>
      </c>
      <c r="G177">
        <v>4756.66</v>
      </c>
      <c r="H177">
        <v>10</v>
      </c>
      <c r="I177">
        <v>1022.61</v>
      </c>
    </row>
    <row r="178" spans="1:9" x14ac:dyDescent="0.3">
      <c r="A178" t="s">
        <v>314</v>
      </c>
      <c r="B178" s="1">
        <v>45697</v>
      </c>
      <c r="C178" t="s">
        <v>17</v>
      </c>
      <c r="D178" t="s">
        <v>21</v>
      </c>
      <c r="E178" t="s">
        <v>36</v>
      </c>
      <c r="F178" t="s">
        <v>180</v>
      </c>
      <c r="G178">
        <v>4645.43</v>
      </c>
      <c r="H178">
        <v>2</v>
      </c>
      <c r="I178">
        <v>421.11</v>
      </c>
    </row>
    <row r="179" spans="1:9" x14ac:dyDescent="0.3">
      <c r="A179" t="s">
        <v>315</v>
      </c>
      <c r="B179" s="1">
        <v>45522</v>
      </c>
      <c r="C179" t="s">
        <v>25</v>
      </c>
      <c r="D179" t="s">
        <v>21</v>
      </c>
      <c r="E179" t="s">
        <v>29</v>
      </c>
      <c r="F179" t="s">
        <v>180</v>
      </c>
      <c r="G179">
        <v>3262.94</v>
      </c>
      <c r="H179">
        <v>5</v>
      </c>
      <c r="I179">
        <v>531.73</v>
      </c>
    </row>
    <row r="180" spans="1:9" x14ac:dyDescent="0.3">
      <c r="A180" t="s">
        <v>316</v>
      </c>
      <c r="B180" s="1">
        <v>45797</v>
      </c>
      <c r="C180" t="s">
        <v>10</v>
      </c>
      <c r="D180" t="s">
        <v>11</v>
      </c>
      <c r="E180" t="s">
        <v>48</v>
      </c>
      <c r="F180" t="s">
        <v>252</v>
      </c>
      <c r="G180">
        <v>4644.08</v>
      </c>
      <c r="H180">
        <v>4</v>
      </c>
      <c r="I180">
        <v>-65.8</v>
      </c>
    </row>
    <row r="181" spans="1:9" x14ac:dyDescent="0.3">
      <c r="A181" t="s">
        <v>317</v>
      </c>
      <c r="B181" s="1">
        <v>45940</v>
      </c>
      <c r="C181" t="s">
        <v>17</v>
      </c>
      <c r="D181" t="s">
        <v>32</v>
      </c>
      <c r="E181" t="s">
        <v>33</v>
      </c>
      <c r="F181" t="s">
        <v>318</v>
      </c>
      <c r="G181">
        <v>894.6</v>
      </c>
      <c r="H181">
        <v>10</v>
      </c>
      <c r="I181">
        <v>101.61</v>
      </c>
    </row>
    <row r="182" spans="1:9" x14ac:dyDescent="0.3">
      <c r="A182" t="s">
        <v>319</v>
      </c>
      <c r="B182" s="1">
        <v>45477</v>
      </c>
      <c r="C182" t="s">
        <v>28</v>
      </c>
      <c r="D182" t="s">
        <v>11</v>
      </c>
      <c r="E182" t="s">
        <v>18</v>
      </c>
      <c r="F182" t="s">
        <v>320</v>
      </c>
      <c r="G182">
        <v>4158.6499999999996</v>
      </c>
      <c r="H182">
        <v>7</v>
      </c>
      <c r="I182">
        <v>1148.8900000000001</v>
      </c>
    </row>
    <row r="183" spans="1:9" x14ac:dyDescent="0.3">
      <c r="A183" t="s">
        <v>321</v>
      </c>
      <c r="B183" s="1">
        <v>45622</v>
      </c>
      <c r="C183" t="s">
        <v>28</v>
      </c>
      <c r="D183" t="s">
        <v>21</v>
      </c>
      <c r="E183" t="s">
        <v>22</v>
      </c>
      <c r="F183" t="s">
        <v>195</v>
      </c>
      <c r="G183">
        <v>1214.46</v>
      </c>
      <c r="H183">
        <v>5</v>
      </c>
      <c r="I183">
        <v>-20.260000000000002</v>
      </c>
    </row>
    <row r="184" spans="1:9" x14ac:dyDescent="0.3">
      <c r="A184" t="s">
        <v>322</v>
      </c>
      <c r="B184" s="1">
        <v>45649</v>
      </c>
      <c r="C184" t="s">
        <v>17</v>
      </c>
      <c r="D184" t="s">
        <v>21</v>
      </c>
      <c r="E184" t="s">
        <v>29</v>
      </c>
      <c r="F184" t="s">
        <v>323</v>
      </c>
      <c r="G184">
        <v>734.26</v>
      </c>
      <c r="H184">
        <v>7</v>
      </c>
      <c r="I184">
        <v>-63.61</v>
      </c>
    </row>
    <row r="185" spans="1:9" x14ac:dyDescent="0.3">
      <c r="A185" t="s">
        <v>324</v>
      </c>
      <c r="B185" s="1">
        <v>45353</v>
      </c>
      <c r="C185" t="s">
        <v>17</v>
      </c>
      <c r="D185" t="s">
        <v>21</v>
      </c>
      <c r="E185" t="s">
        <v>36</v>
      </c>
      <c r="F185" t="s">
        <v>184</v>
      </c>
      <c r="G185">
        <v>2924.51</v>
      </c>
      <c r="H185">
        <v>3</v>
      </c>
      <c r="I185">
        <v>-231.27</v>
      </c>
    </row>
    <row r="186" spans="1:9" x14ac:dyDescent="0.3">
      <c r="A186" t="s">
        <v>325</v>
      </c>
      <c r="B186" s="1">
        <v>45653</v>
      </c>
      <c r="C186" t="s">
        <v>10</v>
      </c>
      <c r="D186" t="s">
        <v>32</v>
      </c>
      <c r="E186" t="s">
        <v>73</v>
      </c>
      <c r="F186" t="s">
        <v>154</v>
      </c>
      <c r="G186">
        <v>3609.97</v>
      </c>
      <c r="H186">
        <v>5</v>
      </c>
      <c r="I186">
        <v>683.76</v>
      </c>
    </row>
    <row r="187" spans="1:9" x14ac:dyDescent="0.3">
      <c r="A187" t="s">
        <v>326</v>
      </c>
      <c r="B187" s="1">
        <v>45906</v>
      </c>
      <c r="C187" t="s">
        <v>28</v>
      </c>
      <c r="D187" t="s">
        <v>32</v>
      </c>
      <c r="E187" t="s">
        <v>73</v>
      </c>
      <c r="F187" t="s">
        <v>327</v>
      </c>
      <c r="G187">
        <v>4795.1400000000003</v>
      </c>
      <c r="H187">
        <v>1</v>
      </c>
      <c r="I187">
        <v>476.69</v>
      </c>
    </row>
    <row r="188" spans="1:9" x14ac:dyDescent="0.3">
      <c r="A188" t="s">
        <v>328</v>
      </c>
      <c r="B188" s="1">
        <v>45867</v>
      </c>
      <c r="C188" t="s">
        <v>10</v>
      </c>
      <c r="D188" t="s">
        <v>21</v>
      </c>
      <c r="E188" t="s">
        <v>29</v>
      </c>
      <c r="F188" t="s">
        <v>329</v>
      </c>
      <c r="G188">
        <v>4975.1499999999996</v>
      </c>
      <c r="H188">
        <v>7</v>
      </c>
      <c r="I188">
        <v>-495.34</v>
      </c>
    </row>
    <row r="189" spans="1:9" x14ac:dyDescent="0.3">
      <c r="A189" t="s">
        <v>330</v>
      </c>
      <c r="B189" s="1">
        <v>45707</v>
      </c>
      <c r="C189" t="s">
        <v>25</v>
      </c>
      <c r="D189" t="s">
        <v>32</v>
      </c>
      <c r="E189" t="s">
        <v>33</v>
      </c>
      <c r="F189" t="s">
        <v>244</v>
      </c>
      <c r="G189">
        <v>4469.95</v>
      </c>
      <c r="H189">
        <v>1</v>
      </c>
      <c r="I189">
        <v>-50.33</v>
      </c>
    </row>
    <row r="190" spans="1:9" x14ac:dyDescent="0.3">
      <c r="A190" t="s">
        <v>331</v>
      </c>
      <c r="B190" s="1">
        <v>45420</v>
      </c>
      <c r="C190" t="s">
        <v>10</v>
      </c>
      <c r="D190" t="s">
        <v>32</v>
      </c>
      <c r="E190" t="s">
        <v>73</v>
      </c>
      <c r="F190" t="s">
        <v>329</v>
      </c>
      <c r="G190">
        <v>3110.18</v>
      </c>
      <c r="H190">
        <v>3</v>
      </c>
      <c r="I190">
        <v>783.78</v>
      </c>
    </row>
    <row r="191" spans="1:9" x14ac:dyDescent="0.3">
      <c r="A191" t="s">
        <v>332</v>
      </c>
      <c r="B191" s="1">
        <v>45624</v>
      </c>
      <c r="C191" t="s">
        <v>28</v>
      </c>
      <c r="D191" t="s">
        <v>21</v>
      </c>
      <c r="E191" t="s">
        <v>36</v>
      </c>
      <c r="F191" t="s">
        <v>215</v>
      </c>
      <c r="G191">
        <v>435.13</v>
      </c>
      <c r="H191">
        <v>6</v>
      </c>
      <c r="I191">
        <v>32.04</v>
      </c>
    </row>
    <row r="192" spans="1:9" x14ac:dyDescent="0.3">
      <c r="A192" t="s">
        <v>333</v>
      </c>
      <c r="B192" s="1">
        <v>45704</v>
      </c>
      <c r="C192" t="s">
        <v>17</v>
      </c>
      <c r="D192" t="s">
        <v>32</v>
      </c>
      <c r="E192" t="s">
        <v>33</v>
      </c>
      <c r="F192" t="s">
        <v>213</v>
      </c>
      <c r="G192">
        <v>667.48</v>
      </c>
      <c r="H192">
        <v>1</v>
      </c>
      <c r="I192">
        <v>-47.22</v>
      </c>
    </row>
    <row r="193" spans="1:9" x14ac:dyDescent="0.3">
      <c r="A193" t="s">
        <v>334</v>
      </c>
      <c r="B193" s="1">
        <v>45797</v>
      </c>
      <c r="C193" t="s">
        <v>17</v>
      </c>
      <c r="D193" t="s">
        <v>11</v>
      </c>
      <c r="E193" t="s">
        <v>48</v>
      </c>
      <c r="F193" t="s">
        <v>55</v>
      </c>
      <c r="G193">
        <v>2413.98</v>
      </c>
      <c r="H193">
        <v>1</v>
      </c>
      <c r="I193">
        <v>-162.06</v>
      </c>
    </row>
    <row r="194" spans="1:9" x14ac:dyDescent="0.3">
      <c r="A194" t="s">
        <v>335</v>
      </c>
      <c r="B194" s="1">
        <v>45774</v>
      </c>
      <c r="C194" t="s">
        <v>10</v>
      </c>
      <c r="D194" t="s">
        <v>32</v>
      </c>
      <c r="E194" t="s">
        <v>73</v>
      </c>
      <c r="F194" t="s">
        <v>311</v>
      </c>
      <c r="G194">
        <v>3822.89</v>
      </c>
      <c r="H194">
        <v>3</v>
      </c>
      <c r="I194">
        <v>-368.1</v>
      </c>
    </row>
    <row r="195" spans="1:9" x14ac:dyDescent="0.3">
      <c r="A195" t="s">
        <v>336</v>
      </c>
      <c r="B195" s="1">
        <v>45705</v>
      </c>
      <c r="C195" t="s">
        <v>10</v>
      </c>
      <c r="D195" t="s">
        <v>32</v>
      </c>
      <c r="E195" t="s">
        <v>33</v>
      </c>
      <c r="F195" t="s">
        <v>337</v>
      </c>
      <c r="G195">
        <v>4930.4799999999996</v>
      </c>
      <c r="H195">
        <v>5</v>
      </c>
      <c r="I195">
        <v>655.34</v>
      </c>
    </row>
    <row r="196" spans="1:9" x14ac:dyDescent="0.3">
      <c r="A196" t="s">
        <v>338</v>
      </c>
      <c r="B196" s="1">
        <v>45524</v>
      </c>
      <c r="C196" t="s">
        <v>28</v>
      </c>
      <c r="D196" t="s">
        <v>21</v>
      </c>
      <c r="E196" t="s">
        <v>29</v>
      </c>
      <c r="F196" t="s">
        <v>270</v>
      </c>
      <c r="G196">
        <v>1556.19</v>
      </c>
      <c r="H196">
        <v>5</v>
      </c>
      <c r="I196">
        <v>50.19</v>
      </c>
    </row>
    <row r="197" spans="1:9" x14ac:dyDescent="0.3">
      <c r="A197" t="s">
        <v>339</v>
      </c>
      <c r="B197" s="1">
        <v>45771</v>
      </c>
      <c r="C197" t="s">
        <v>17</v>
      </c>
      <c r="D197" t="s">
        <v>11</v>
      </c>
      <c r="E197" t="s">
        <v>18</v>
      </c>
      <c r="F197" t="s">
        <v>340</v>
      </c>
      <c r="G197">
        <v>152.12</v>
      </c>
      <c r="H197">
        <v>9</v>
      </c>
      <c r="I197">
        <v>24.72</v>
      </c>
    </row>
    <row r="198" spans="1:9" x14ac:dyDescent="0.3">
      <c r="A198" t="s">
        <v>341</v>
      </c>
      <c r="B198" s="1">
        <v>45452</v>
      </c>
      <c r="C198" t="s">
        <v>10</v>
      </c>
      <c r="D198" t="s">
        <v>11</v>
      </c>
      <c r="E198" t="s">
        <v>12</v>
      </c>
      <c r="F198" t="s">
        <v>59</v>
      </c>
      <c r="G198">
        <v>3430.14</v>
      </c>
      <c r="H198">
        <v>8</v>
      </c>
      <c r="I198">
        <v>146.83000000000001</v>
      </c>
    </row>
    <row r="199" spans="1:9" x14ac:dyDescent="0.3">
      <c r="A199" t="s">
        <v>342</v>
      </c>
      <c r="B199" s="1">
        <v>45756</v>
      </c>
      <c r="C199" t="s">
        <v>10</v>
      </c>
      <c r="D199" t="s">
        <v>11</v>
      </c>
      <c r="E199" t="s">
        <v>48</v>
      </c>
      <c r="F199" t="s">
        <v>343</v>
      </c>
      <c r="G199">
        <v>2707.69</v>
      </c>
      <c r="H199">
        <v>2</v>
      </c>
      <c r="I199">
        <v>723.39</v>
      </c>
    </row>
    <row r="200" spans="1:9" x14ac:dyDescent="0.3">
      <c r="A200" t="s">
        <v>344</v>
      </c>
      <c r="B200" s="1">
        <v>45934</v>
      </c>
      <c r="C200" t="s">
        <v>17</v>
      </c>
      <c r="D200" t="s">
        <v>21</v>
      </c>
      <c r="E200" t="s">
        <v>22</v>
      </c>
      <c r="F200" t="s">
        <v>70</v>
      </c>
      <c r="G200">
        <v>4391.57</v>
      </c>
      <c r="H200">
        <v>6</v>
      </c>
      <c r="I200">
        <v>144.18</v>
      </c>
    </row>
    <row r="201" spans="1:9" x14ac:dyDescent="0.3">
      <c r="A201" t="s">
        <v>345</v>
      </c>
      <c r="B201" s="1">
        <v>45637</v>
      </c>
      <c r="C201" t="s">
        <v>10</v>
      </c>
      <c r="D201" t="s">
        <v>32</v>
      </c>
      <c r="E201" t="s">
        <v>39</v>
      </c>
      <c r="F201" t="s">
        <v>160</v>
      </c>
      <c r="G201">
        <v>1869.5</v>
      </c>
      <c r="H201">
        <v>4</v>
      </c>
      <c r="I201">
        <v>73.89</v>
      </c>
    </row>
    <row r="202" spans="1:9" x14ac:dyDescent="0.3">
      <c r="A202" t="s">
        <v>346</v>
      </c>
      <c r="B202" s="1">
        <v>46013</v>
      </c>
      <c r="C202" t="s">
        <v>10</v>
      </c>
      <c r="D202" t="s">
        <v>32</v>
      </c>
      <c r="E202" t="s">
        <v>39</v>
      </c>
      <c r="F202" t="s">
        <v>23</v>
      </c>
      <c r="G202">
        <v>866.88</v>
      </c>
      <c r="H202">
        <v>8</v>
      </c>
      <c r="I202">
        <v>-37.85</v>
      </c>
    </row>
    <row r="203" spans="1:9" x14ac:dyDescent="0.3">
      <c r="A203" t="s">
        <v>347</v>
      </c>
      <c r="B203" s="1">
        <v>45506</v>
      </c>
      <c r="C203" t="s">
        <v>28</v>
      </c>
      <c r="D203" t="s">
        <v>21</v>
      </c>
      <c r="E203" t="s">
        <v>36</v>
      </c>
      <c r="F203" t="s">
        <v>144</v>
      </c>
      <c r="G203">
        <v>108.2</v>
      </c>
      <c r="H203">
        <v>10</v>
      </c>
      <c r="I203">
        <v>31.33</v>
      </c>
    </row>
    <row r="204" spans="1:9" x14ac:dyDescent="0.3">
      <c r="A204" t="s">
        <v>348</v>
      </c>
      <c r="B204" s="1">
        <v>45632</v>
      </c>
      <c r="C204" t="s">
        <v>28</v>
      </c>
      <c r="D204" t="s">
        <v>32</v>
      </c>
      <c r="E204" t="s">
        <v>73</v>
      </c>
      <c r="F204" t="s">
        <v>349</v>
      </c>
      <c r="G204">
        <v>318.89</v>
      </c>
      <c r="H204">
        <v>9</v>
      </c>
      <c r="I204">
        <v>65.44</v>
      </c>
    </row>
    <row r="205" spans="1:9" x14ac:dyDescent="0.3">
      <c r="A205" t="s">
        <v>350</v>
      </c>
      <c r="B205" s="1">
        <v>45888</v>
      </c>
      <c r="C205" t="s">
        <v>17</v>
      </c>
      <c r="D205" t="s">
        <v>32</v>
      </c>
      <c r="E205" t="s">
        <v>39</v>
      </c>
      <c r="F205" t="s">
        <v>74</v>
      </c>
      <c r="G205">
        <v>1765.81</v>
      </c>
      <c r="H205">
        <v>2</v>
      </c>
      <c r="I205">
        <v>374.63</v>
      </c>
    </row>
    <row r="206" spans="1:9" x14ac:dyDescent="0.3">
      <c r="A206" t="s">
        <v>351</v>
      </c>
      <c r="B206" s="1">
        <v>45425</v>
      </c>
      <c r="C206" t="s">
        <v>17</v>
      </c>
      <c r="D206" t="s">
        <v>32</v>
      </c>
      <c r="E206" t="s">
        <v>39</v>
      </c>
      <c r="F206" t="s">
        <v>146</v>
      </c>
      <c r="G206">
        <v>1038.24</v>
      </c>
      <c r="H206">
        <v>10</v>
      </c>
      <c r="I206">
        <v>281.54000000000002</v>
      </c>
    </row>
    <row r="207" spans="1:9" x14ac:dyDescent="0.3">
      <c r="A207" t="s">
        <v>352</v>
      </c>
      <c r="B207" s="1">
        <v>45726</v>
      </c>
      <c r="C207" t="s">
        <v>10</v>
      </c>
      <c r="D207" t="s">
        <v>32</v>
      </c>
      <c r="E207" t="s">
        <v>33</v>
      </c>
      <c r="F207" t="s">
        <v>353</v>
      </c>
      <c r="G207">
        <v>3670.92</v>
      </c>
      <c r="H207">
        <v>2</v>
      </c>
      <c r="I207">
        <v>420.6</v>
      </c>
    </row>
    <row r="208" spans="1:9" x14ac:dyDescent="0.3">
      <c r="A208" t="s">
        <v>354</v>
      </c>
      <c r="B208" s="1">
        <v>45761</v>
      </c>
      <c r="C208" t="s">
        <v>10</v>
      </c>
      <c r="D208" t="s">
        <v>21</v>
      </c>
      <c r="E208" t="s">
        <v>29</v>
      </c>
      <c r="F208" t="s">
        <v>355</v>
      </c>
      <c r="G208">
        <v>2988.97</v>
      </c>
      <c r="H208">
        <v>1</v>
      </c>
      <c r="I208">
        <v>153.71</v>
      </c>
    </row>
    <row r="209" spans="1:9" x14ac:dyDescent="0.3">
      <c r="A209" t="s">
        <v>356</v>
      </c>
      <c r="B209" s="1">
        <v>45494</v>
      </c>
      <c r="C209" t="s">
        <v>17</v>
      </c>
      <c r="D209" t="s">
        <v>21</v>
      </c>
      <c r="E209" t="s">
        <v>36</v>
      </c>
      <c r="F209" t="s">
        <v>357</v>
      </c>
      <c r="G209">
        <v>105.12</v>
      </c>
      <c r="H209">
        <v>5</v>
      </c>
      <c r="I209">
        <v>-5.44</v>
      </c>
    </row>
    <row r="210" spans="1:9" x14ac:dyDescent="0.3">
      <c r="A210" t="s">
        <v>358</v>
      </c>
      <c r="B210" s="1">
        <v>45486</v>
      </c>
      <c r="C210" t="s">
        <v>25</v>
      </c>
      <c r="D210" t="s">
        <v>11</v>
      </c>
      <c r="E210" t="s">
        <v>18</v>
      </c>
      <c r="F210" t="s">
        <v>37</v>
      </c>
      <c r="G210">
        <v>4436.8900000000003</v>
      </c>
      <c r="H210">
        <v>3</v>
      </c>
      <c r="I210">
        <v>-129.57</v>
      </c>
    </row>
    <row r="211" spans="1:9" x14ac:dyDescent="0.3">
      <c r="A211" t="s">
        <v>359</v>
      </c>
      <c r="B211" s="1">
        <v>45327</v>
      </c>
      <c r="C211" t="s">
        <v>10</v>
      </c>
      <c r="D211" t="s">
        <v>32</v>
      </c>
      <c r="E211" t="s">
        <v>39</v>
      </c>
      <c r="F211" t="s">
        <v>360</v>
      </c>
      <c r="G211">
        <v>1698.86</v>
      </c>
      <c r="H211">
        <v>6</v>
      </c>
      <c r="I211">
        <v>472.37</v>
      </c>
    </row>
    <row r="212" spans="1:9" x14ac:dyDescent="0.3">
      <c r="A212" t="s">
        <v>361</v>
      </c>
      <c r="B212" s="1">
        <v>45647</v>
      </c>
      <c r="C212" t="s">
        <v>10</v>
      </c>
      <c r="D212" t="s">
        <v>21</v>
      </c>
      <c r="E212" t="s">
        <v>36</v>
      </c>
      <c r="F212" t="s">
        <v>362</v>
      </c>
      <c r="G212">
        <v>4375.55</v>
      </c>
      <c r="H212">
        <v>2</v>
      </c>
      <c r="I212">
        <v>389.8</v>
      </c>
    </row>
    <row r="213" spans="1:9" x14ac:dyDescent="0.3">
      <c r="A213" t="s">
        <v>363</v>
      </c>
      <c r="B213" s="1">
        <v>45765</v>
      </c>
      <c r="C213" t="s">
        <v>25</v>
      </c>
      <c r="D213" t="s">
        <v>21</v>
      </c>
      <c r="E213" t="s">
        <v>22</v>
      </c>
      <c r="F213" t="s">
        <v>311</v>
      </c>
      <c r="G213">
        <v>2708.63</v>
      </c>
      <c r="H213">
        <v>7</v>
      </c>
      <c r="I213">
        <v>229.31</v>
      </c>
    </row>
    <row r="214" spans="1:9" x14ac:dyDescent="0.3">
      <c r="A214" t="s">
        <v>364</v>
      </c>
      <c r="B214" s="1">
        <v>45462</v>
      </c>
      <c r="C214" t="s">
        <v>10</v>
      </c>
      <c r="D214" t="s">
        <v>11</v>
      </c>
      <c r="E214" t="s">
        <v>18</v>
      </c>
      <c r="F214" t="s">
        <v>275</v>
      </c>
      <c r="G214">
        <v>250.05</v>
      </c>
      <c r="H214">
        <v>1</v>
      </c>
      <c r="I214">
        <v>67.64</v>
      </c>
    </row>
    <row r="215" spans="1:9" x14ac:dyDescent="0.3">
      <c r="A215" t="s">
        <v>365</v>
      </c>
      <c r="B215" s="1">
        <v>45425</v>
      </c>
      <c r="C215" t="s">
        <v>28</v>
      </c>
      <c r="D215" t="s">
        <v>11</v>
      </c>
      <c r="E215" t="s">
        <v>48</v>
      </c>
      <c r="F215" t="s">
        <v>13</v>
      </c>
      <c r="G215">
        <v>348.19</v>
      </c>
      <c r="H215">
        <v>9</v>
      </c>
      <c r="I215">
        <v>78.47</v>
      </c>
    </row>
    <row r="216" spans="1:9" x14ac:dyDescent="0.3">
      <c r="A216" t="s">
        <v>366</v>
      </c>
      <c r="B216" s="1">
        <v>45437</v>
      </c>
      <c r="C216" t="s">
        <v>10</v>
      </c>
      <c r="D216" t="s">
        <v>21</v>
      </c>
      <c r="E216" t="s">
        <v>22</v>
      </c>
      <c r="F216" t="s">
        <v>13</v>
      </c>
      <c r="G216">
        <v>2588.7399999999998</v>
      </c>
      <c r="H216">
        <v>4</v>
      </c>
      <c r="I216">
        <v>578.38</v>
      </c>
    </row>
    <row r="217" spans="1:9" x14ac:dyDescent="0.3">
      <c r="A217" t="s">
        <v>367</v>
      </c>
      <c r="B217" s="1">
        <v>45677</v>
      </c>
      <c r="C217" t="s">
        <v>17</v>
      </c>
      <c r="D217" t="s">
        <v>11</v>
      </c>
      <c r="E217" t="s">
        <v>48</v>
      </c>
      <c r="F217" t="s">
        <v>368</v>
      </c>
      <c r="G217">
        <v>2683</v>
      </c>
      <c r="H217">
        <v>7</v>
      </c>
      <c r="I217">
        <v>552.82000000000005</v>
      </c>
    </row>
    <row r="218" spans="1:9" x14ac:dyDescent="0.3">
      <c r="A218" t="s">
        <v>369</v>
      </c>
      <c r="B218" s="1">
        <v>45872</v>
      </c>
      <c r="C218" t="s">
        <v>25</v>
      </c>
      <c r="D218" t="s">
        <v>32</v>
      </c>
      <c r="E218" t="s">
        <v>33</v>
      </c>
      <c r="F218" t="s">
        <v>370</v>
      </c>
      <c r="G218">
        <v>3240.95</v>
      </c>
      <c r="H218">
        <v>6</v>
      </c>
      <c r="I218">
        <v>-4.07</v>
      </c>
    </row>
    <row r="219" spans="1:9" x14ac:dyDescent="0.3">
      <c r="A219" t="s">
        <v>371</v>
      </c>
      <c r="B219" s="1">
        <v>45579</v>
      </c>
      <c r="C219" t="s">
        <v>17</v>
      </c>
      <c r="D219" t="s">
        <v>32</v>
      </c>
      <c r="E219" t="s">
        <v>73</v>
      </c>
      <c r="F219" t="s">
        <v>372</v>
      </c>
      <c r="G219">
        <v>1732.21</v>
      </c>
      <c r="H219">
        <v>2</v>
      </c>
      <c r="I219">
        <v>154.47999999999999</v>
      </c>
    </row>
    <row r="220" spans="1:9" x14ac:dyDescent="0.3">
      <c r="A220" t="s">
        <v>373</v>
      </c>
      <c r="B220" s="1">
        <v>45744</v>
      </c>
      <c r="C220" t="s">
        <v>25</v>
      </c>
      <c r="D220" t="s">
        <v>21</v>
      </c>
      <c r="E220" t="s">
        <v>22</v>
      </c>
      <c r="F220" t="s">
        <v>53</v>
      </c>
      <c r="G220">
        <v>1106.53</v>
      </c>
      <c r="H220">
        <v>1</v>
      </c>
      <c r="I220">
        <v>310.88</v>
      </c>
    </row>
    <row r="221" spans="1:9" x14ac:dyDescent="0.3">
      <c r="A221" t="s">
        <v>374</v>
      </c>
      <c r="B221" s="1">
        <v>45856</v>
      </c>
      <c r="C221" t="s">
        <v>10</v>
      </c>
      <c r="D221" t="s">
        <v>21</v>
      </c>
      <c r="E221" t="s">
        <v>22</v>
      </c>
      <c r="F221" t="s">
        <v>375</v>
      </c>
      <c r="G221">
        <v>1659.56</v>
      </c>
      <c r="H221">
        <v>9</v>
      </c>
      <c r="I221">
        <v>451.63</v>
      </c>
    </row>
    <row r="222" spans="1:9" x14ac:dyDescent="0.3">
      <c r="A222" t="s">
        <v>376</v>
      </c>
      <c r="B222" s="1">
        <v>45904</v>
      </c>
      <c r="C222" t="s">
        <v>10</v>
      </c>
      <c r="D222" t="s">
        <v>32</v>
      </c>
      <c r="E222" t="s">
        <v>39</v>
      </c>
      <c r="F222" t="s">
        <v>65</v>
      </c>
      <c r="G222">
        <v>1372.08</v>
      </c>
      <c r="H222">
        <v>8</v>
      </c>
      <c r="I222">
        <v>65.459999999999994</v>
      </c>
    </row>
    <row r="223" spans="1:9" x14ac:dyDescent="0.3">
      <c r="A223" t="s">
        <v>377</v>
      </c>
      <c r="B223" s="1">
        <v>45511</v>
      </c>
      <c r="C223" t="s">
        <v>17</v>
      </c>
      <c r="D223" t="s">
        <v>32</v>
      </c>
      <c r="E223" t="s">
        <v>33</v>
      </c>
      <c r="F223" t="s">
        <v>59</v>
      </c>
      <c r="G223">
        <v>1526.24</v>
      </c>
      <c r="H223">
        <v>7</v>
      </c>
      <c r="I223">
        <v>250.26</v>
      </c>
    </row>
    <row r="224" spans="1:9" x14ac:dyDescent="0.3">
      <c r="A224" t="s">
        <v>378</v>
      </c>
      <c r="B224" s="1">
        <v>45714</v>
      </c>
      <c r="C224" t="s">
        <v>10</v>
      </c>
      <c r="D224" t="s">
        <v>32</v>
      </c>
      <c r="E224" t="s">
        <v>73</v>
      </c>
      <c r="F224" t="s">
        <v>200</v>
      </c>
      <c r="G224">
        <v>4230.5</v>
      </c>
      <c r="H224">
        <v>2</v>
      </c>
      <c r="I224">
        <v>18.8</v>
      </c>
    </row>
    <row r="225" spans="1:9" x14ac:dyDescent="0.3">
      <c r="A225" t="s">
        <v>379</v>
      </c>
      <c r="B225" s="1">
        <v>45843</v>
      </c>
      <c r="C225" t="s">
        <v>25</v>
      </c>
      <c r="D225" t="s">
        <v>32</v>
      </c>
      <c r="E225" t="s">
        <v>39</v>
      </c>
      <c r="F225" t="s">
        <v>311</v>
      </c>
      <c r="G225">
        <v>2738.7</v>
      </c>
      <c r="H225">
        <v>3</v>
      </c>
      <c r="I225">
        <v>161.38999999999999</v>
      </c>
    </row>
    <row r="226" spans="1:9" x14ac:dyDescent="0.3">
      <c r="A226" t="s">
        <v>380</v>
      </c>
      <c r="B226" s="1">
        <v>45665</v>
      </c>
      <c r="C226" t="s">
        <v>28</v>
      </c>
      <c r="D226" t="s">
        <v>11</v>
      </c>
      <c r="E226" t="s">
        <v>18</v>
      </c>
      <c r="F226" t="s">
        <v>265</v>
      </c>
      <c r="G226">
        <v>4177.8100000000004</v>
      </c>
      <c r="H226">
        <v>8</v>
      </c>
      <c r="I226">
        <v>-303.04000000000002</v>
      </c>
    </row>
    <row r="227" spans="1:9" x14ac:dyDescent="0.3">
      <c r="A227" t="s">
        <v>381</v>
      </c>
      <c r="B227" s="1">
        <v>45914</v>
      </c>
      <c r="C227" t="s">
        <v>25</v>
      </c>
      <c r="D227" t="s">
        <v>32</v>
      </c>
      <c r="E227" t="s">
        <v>39</v>
      </c>
      <c r="F227" t="s">
        <v>320</v>
      </c>
      <c r="G227">
        <v>2156.81</v>
      </c>
      <c r="H227">
        <v>10</v>
      </c>
      <c r="I227">
        <v>-43.87</v>
      </c>
    </row>
    <row r="228" spans="1:9" x14ac:dyDescent="0.3">
      <c r="A228" t="s">
        <v>382</v>
      </c>
      <c r="B228" s="1">
        <v>45494</v>
      </c>
      <c r="C228" t="s">
        <v>10</v>
      </c>
      <c r="D228" t="s">
        <v>32</v>
      </c>
      <c r="E228" t="s">
        <v>33</v>
      </c>
      <c r="F228" t="s">
        <v>383</v>
      </c>
      <c r="G228">
        <v>270.83999999999997</v>
      </c>
      <c r="H228">
        <v>1</v>
      </c>
      <c r="I228">
        <v>-25.6</v>
      </c>
    </row>
    <row r="229" spans="1:9" x14ac:dyDescent="0.3">
      <c r="A229" t="s">
        <v>384</v>
      </c>
      <c r="B229" s="1">
        <v>45308</v>
      </c>
      <c r="C229" t="s">
        <v>10</v>
      </c>
      <c r="D229" t="s">
        <v>21</v>
      </c>
      <c r="E229" t="s">
        <v>29</v>
      </c>
      <c r="F229" t="s">
        <v>263</v>
      </c>
      <c r="G229">
        <v>4867.9399999999996</v>
      </c>
      <c r="H229">
        <v>5</v>
      </c>
      <c r="I229">
        <v>814.95</v>
      </c>
    </row>
    <row r="230" spans="1:9" x14ac:dyDescent="0.3">
      <c r="A230" t="s">
        <v>385</v>
      </c>
      <c r="B230" s="1">
        <v>45812</v>
      </c>
      <c r="C230" t="s">
        <v>10</v>
      </c>
      <c r="D230" t="s">
        <v>11</v>
      </c>
      <c r="E230" t="s">
        <v>12</v>
      </c>
      <c r="F230" t="s">
        <v>157</v>
      </c>
      <c r="G230">
        <v>1900.47</v>
      </c>
      <c r="H230">
        <v>1</v>
      </c>
      <c r="I230">
        <v>166.67</v>
      </c>
    </row>
    <row r="231" spans="1:9" x14ac:dyDescent="0.3">
      <c r="A231" t="s">
        <v>386</v>
      </c>
      <c r="B231" s="1">
        <v>45461</v>
      </c>
      <c r="C231" t="s">
        <v>17</v>
      </c>
      <c r="D231" t="s">
        <v>32</v>
      </c>
      <c r="E231" t="s">
        <v>39</v>
      </c>
      <c r="F231" t="s">
        <v>349</v>
      </c>
      <c r="G231">
        <v>1420.25</v>
      </c>
      <c r="H231">
        <v>1</v>
      </c>
      <c r="I231">
        <v>-21.63</v>
      </c>
    </row>
    <row r="232" spans="1:9" x14ac:dyDescent="0.3">
      <c r="A232" t="s">
        <v>387</v>
      </c>
      <c r="B232" s="1">
        <v>45548</v>
      </c>
      <c r="C232" t="s">
        <v>28</v>
      </c>
      <c r="D232" t="s">
        <v>32</v>
      </c>
      <c r="E232" t="s">
        <v>73</v>
      </c>
      <c r="F232" t="s">
        <v>113</v>
      </c>
      <c r="G232">
        <v>1679.73</v>
      </c>
      <c r="H232">
        <v>1</v>
      </c>
      <c r="I232">
        <v>287.66000000000003</v>
      </c>
    </row>
    <row r="233" spans="1:9" x14ac:dyDescent="0.3">
      <c r="A233" t="s">
        <v>388</v>
      </c>
      <c r="B233" s="1">
        <v>45778</v>
      </c>
      <c r="C233" t="s">
        <v>28</v>
      </c>
      <c r="D233" t="s">
        <v>21</v>
      </c>
      <c r="E233" t="s">
        <v>22</v>
      </c>
      <c r="F233" t="s">
        <v>200</v>
      </c>
      <c r="G233">
        <v>3046.34</v>
      </c>
      <c r="H233">
        <v>10</v>
      </c>
      <c r="I233">
        <v>-187.83</v>
      </c>
    </row>
    <row r="234" spans="1:9" x14ac:dyDescent="0.3">
      <c r="A234" t="s">
        <v>389</v>
      </c>
      <c r="B234" s="1">
        <v>45540</v>
      </c>
      <c r="C234" t="s">
        <v>17</v>
      </c>
      <c r="D234" t="s">
        <v>32</v>
      </c>
      <c r="E234" t="s">
        <v>73</v>
      </c>
      <c r="F234" t="s">
        <v>349</v>
      </c>
      <c r="G234">
        <v>4874.7700000000004</v>
      </c>
      <c r="H234">
        <v>3</v>
      </c>
      <c r="I234">
        <v>661.84</v>
      </c>
    </row>
    <row r="235" spans="1:9" x14ac:dyDescent="0.3">
      <c r="A235" t="s">
        <v>390</v>
      </c>
      <c r="B235" s="1">
        <v>45836</v>
      </c>
      <c r="C235" t="s">
        <v>10</v>
      </c>
      <c r="D235" t="s">
        <v>21</v>
      </c>
      <c r="E235" t="s">
        <v>29</v>
      </c>
      <c r="F235" t="s">
        <v>19</v>
      </c>
      <c r="G235">
        <v>2656.01</v>
      </c>
      <c r="H235">
        <v>4</v>
      </c>
      <c r="I235">
        <v>456.08</v>
      </c>
    </row>
    <row r="236" spans="1:9" x14ac:dyDescent="0.3">
      <c r="A236" t="s">
        <v>391</v>
      </c>
      <c r="B236" s="1">
        <v>45930</v>
      </c>
      <c r="C236" t="s">
        <v>17</v>
      </c>
      <c r="D236" t="s">
        <v>11</v>
      </c>
      <c r="E236" t="s">
        <v>18</v>
      </c>
      <c r="F236" t="s">
        <v>213</v>
      </c>
      <c r="G236">
        <v>4464.3599999999997</v>
      </c>
      <c r="H236">
        <v>8</v>
      </c>
      <c r="I236">
        <v>-444.76</v>
      </c>
    </row>
    <row r="237" spans="1:9" x14ac:dyDescent="0.3">
      <c r="A237" t="s">
        <v>392</v>
      </c>
      <c r="B237" s="1">
        <v>45584</v>
      </c>
      <c r="C237" t="s">
        <v>17</v>
      </c>
      <c r="D237" t="s">
        <v>11</v>
      </c>
      <c r="E237" t="s">
        <v>12</v>
      </c>
      <c r="F237" t="s">
        <v>393</v>
      </c>
      <c r="G237">
        <v>1362.24</v>
      </c>
      <c r="H237">
        <v>5</v>
      </c>
      <c r="I237">
        <v>192.78</v>
      </c>
    </row>
    <row r="238" spans="1:9" x14ac:dyDescent="0.3">
      <c r="A238" t="s">
        <v>394</v>
      </c>
      <c r="B238" s="1">
        <v>45977</v>
      </c>
      <c r="C238" t="s">
        <v>17</v>
      </c>
      <c r="D238" t="s">
        <v>11</v>
      </c>
      <c r="E238" t="s">
        <v>12</v>
      </c>
      <c r="F238" t="s">
        <v>97</v>
      </c>
      <c r="G238">
        <v>1726.42</v>
      </c>
      <c r="H238">
        <v>9</v>
      </c>
      <c r="I238">
        <v>-3.18</v>
      </c>
    </row>
    <row r="239" spans="1:9" x14ac:dyDescent="0.3">
      <c r="A239" t="s">
        <v>395</v>
      </c>
      <c r="B239" s="1">
        <v>45760</v>
      </c>
      <c r="C239" t="s">
        <v>17</v>
      </c>
      <c r="D239" t="s">
        <v>11</v>
      </c>
      <c r="E239" t="s">
        <v>48</v>
      </c>
      <c r="F239" t="s">
        <v>95</v>
      </c>
      <c r="G239">
        <v>2117.7800000000002</v>
      </c>
      <c r="H239">
        <v>1</v>
      </c>
      <c r="I239">
        <v>301.25</v>
      </c>
    </row>
    <row r="240" spans="1:9" x14ac:dyDescent="0.3">
      <c r="A240" t="s">
        <v>396</v>
      </c>
      <c r="B240" s="1">
        <v>45914</v>
      </c>
      <c r="C240" t="s">
        <v>28</v>
      </c>
      <c r="D240" t="s">
        <v>32</v>
      </c>
      <c r="E240" t="s">
        <v>39</v>
      </c>
      <c r="F240" t="s">
        <v>265</v>
      </c>
      <c r="G240">
        <v>2014.06</v>
      </c>
      <c r="H240">
        <v>4</v>
      </c>
      <c r="I240">
        <v>211.61</v>
      </c>
    </row>
    <row r="241" spans="1:9" x14ac:dyDescent="0.3">
      <c r="A241" t="s">
        <v>397</v>
      </c>
      <c r="B241" s="1">
        <v>45493</v>
      </c>
      <c r="C241" t="s">
        <v>28</v>
      </c>
      <c r="D241" t="s">
        <v>21</v>
      </c>
      <c r="E241" t="s">
        <v>29</v>
      </c>
      <c r="F241" t="s">
        <v>398</v>
      </c>
      <c r="G241">
        <v>2440.4499999999998</v>
      </c>
      <c r="H241">
        <v>1</v>
      </c>
      <c r="I241">
        <v>246.79</v>
      </c>
    </row>
    <row r="242" spans="1:9" x14ac:dyDescent="0.3">
      <c r="A242" t="s">
        <v>399</v>
      </c>
      <c r="B242" s="1">
        <v>46010</v>
      </c>
      <c r="C242" t="s">
        <v>28</v>
      </c>
      <c r="D242" t="s">
        <v>32</v>
      </c>
      <c r="E242" t="s">
        <v>33</v>
      </c>
      <c r="F242" t="s">
        <v>86</v>
      </c>
      <c r="G242">
        <v>2896.56</v>
      </c>
      <c r="H242">
        <v>2</v>
      </c>
      <c r="I242">
        <v>-137.52000000000001</v>
      </c>
    </row>
    <row r="243" spans="1:9" x14ac:dyDescent="0.3">
      <c r="A243" t="s">
        <v>400</v>
      </c>
      <c r="B243" s="1">
        <v>45944</v>
      </c>
      <c r="C243" t="s">
        <v>17</v>
      </c>
      <c r="D243" t="s">
        <v>32</v>
      </c>
      <c r="E243" t="s">
        <v>33</v>
      </c>
      <c r="F243" t="s">
        <v>401</v>
      </c>
      <c r="G243">
        <v>4685.99</v>
      </c>
      <c r="H243">
        <v>10</v>
      </c>
      <c r="I243">
        <v>125.79</v>
      </c>
    </row>
    <row r="244" spans="1:9" x14ac:dyDescent="0.3">
      <c r="A244" t="s">
        <v>402</v>
      </c>
      <c r="B244" s="1">
        <v>45303</v>
      </c>
      <c r="C244" t="s">
        <v>17</v>
      </c>
      <c r="D244" t="s">
        <v>11</v>
      </c>
      <c r="E244" t="s">
        <v>48</v>
      </c>
      <c r="F244" t="s">
        <v>63</v>
      </c>
      <c r="G244">
        <v>1334.98</v>
      </c>
      <c r="H244">
        <v>10</v>
      </c>
      <c r="I244">
        <v>57.24</v>
      </c>
    </row>
    <row r="245" spans="1:9" x14ac:dyDescent="0.3">
      <c r="A245" t="s">
        <v>403</v>
      </c>
      <c r="B245" s="1">
        <v>45345</v>
      </c>
      <c r="C245" t="s">
        <v>28</v>
      </c>
      <c r="D245" t="s">
        <v>21</v>
      </c>
      <c r="E245" t="s">
        <v>29</v>
      </c>
      <c r="F245" t="s">
        <v>404</v>
      </c>
      <c r="G245">
        <v>615.12</v>
      </c>
      <c r="H245">
        <v>10</v>
      </c>
      <c r="I245">
        <v>-56.86</v>
      </c>
    </row>
    <row r="246" spans="1:9" x14ac:dyDescent="0.3">
      <c r="A246" t="s">
        <v>405</v>
      </c>
      <c r="B246" s="1">
        <v>45710</v>
      </c>
      <c r="C246" t="s">
        <v>17</v>
      </c>
      <c r="D246" t="s">
        <v>32</v>
      </c>
      <c r="E246" t="s">
        <v>39</v>
      </c>
      <c r="F246" t="s">
        <v>406</v>
      </c>
      <c r="G246">
        <v>4090.99</v>
      </c>
      <c r="H246">
        <v>6</v>
      </c>
      <c r="I246">
        <v>878.7</v>
      </c>
    </row>
    <row r="247" spans="1:9" x14ac:dyDescent="0.3">
      <c r="A247" t="s">
        <v>407</v>
      </c>
      <c r="B247" s="1">
        <v>45810</v>
      </c>
      <c r="C247" t="s">
        <v>25</v>
      </c>
      <c r="D247" t="s">
        <v>32</v>
      </c>
      <c r="E247" t="s">
        <v>33</v>
      </c>
      <c r="F247" t="s">
        <v>93</v>
      </c>
      <c r="G247">
        <v>2651.57</v>
      </c>
      <c r="H247">
        <v>2</v>
      </c>
      <c r="I247">
        <v>162.11000000000001</v>
      </c>
    </row>
    <row r="248" spans="1:9" x14ac:dyDescent="0.3">
      <c r="A248" t="s">
        <v>408</v>
      </c>
      <c r="B248" s="1">
        <v>45362</v>
      </c>
      <c r="C248" t="s">
        <v>28</v>
      </c>
      <c r="D248" t="s">
        <v>21</v>
      </c>
      <c r="E248" t="s">
        <v>36</v>
      </c>
      <c r="F248" t="s">
        <v>152</v>
      </c>
      <c r="G248">
        <v>4519.16</v>
      </c>
      <c r="H248">
        <v>10</v>
      </c>
      <c r="I248">
        <v>-155.46</v>
      </c>
    </row>
    <row r="249" spans="1:9" x14ac:dyDescent="0.3">
      <c r="A249" t="s">
        <v>409</v>
      </c>
      <c r="B249" s="1">
        <v>46017</v>
      </c>
      <c r="C249" t="s">
        <v>10</v>
      </c>
      <c r="D249" t="s">
        <v>21</v>
      </c>
      <c r="E249" t="s">
        <v>36</v>
      </c>
      <c r="F249" t="s">
        <v>127</v>
      </c>
      <c r="G249">
        <v>3901.35</v>
      </c>
      <c r="H249">
        <v>7</v>
      </c>
      <c r="I249">
        <v>273.27999999999997</v>
      </c>
    </row>
    <row r="250" spans="1:9" x14ac:dyDescent="0.3">
      <c r="A250" t="s">
        <v>410</v>
      </c>
      <c r="B250" s="1">
        <v>45954</v>
      </c>
      <c r="C250" t="s">
        <v>28</v>
      </c>
      <c r="D250" t="s">
        <v>21</v>
      </c>
      <c r="E250" t="s">
        <v>36</v>
      </c>
      <c r="F250" t="s">
        <v>51</v>
      </c>
      <c r="G250">
        <v>3538.75</v>
      </c>
      <c r="H250">
        <v>9</v>
      </c>
      <c r="I250">
        <v>332.07</v>
      </c>
    </row>
    <row r="251" spans="1:9" x14ac:dyDescent="0.3">
      <c r="A251" t="s">
        <v>411</v>
      </c>
      <c r="B251" s="1">
        <v>45503</v>
      </c>
      <c r="C251" t="s">
        <v>10</v>
      </c>
      <c r="D251" t="s">
        <v>11</v>
      </c>
      <c r="E251" t="s">
        <v>18</v>
      </c>
      <c r="F251" t="s">
        <v>412</v>
      </c>
      <c r="G251">
        <v>3698.4</v>
      </c>
      <c r="H251">
        <v>3</v>
      </c>
      <c r="I251">
        <v>1007.13</v>
      </c>
    </row>
    <row r="252" spans="1:9" x14ac:dyDescent="0.3">
      <c r="A252" t="s">
        <v>413</v>
      </c>
      <c r="B252" s="1">
        <v>45650</v>
      </c>
      <c r="C252" t="s">
        <v>10</v>
      </c>
      <c r="D252" t="s">
        <v>21</v>
      </c>
      <c r="E252" t="s">
        <v>36</v>
      </c>
      <c r="F252" t="s">
        <v>119</v>
      </c>
      <c r="G252">
        <v>1932.8</v>
      </c>
      <c r="H252">
        <v>1</v>
      </c>
      <c r="I252">
        <v>41.52</v>
      </c>
    </row>
    <row r="253" spans="1:9" x14ac:dyDescent="0.3">
      <c r="A253" t="s">
        <v>414</v>
      </c>
      <c r="B253" s="1">
        <v>45779</v>
      </c>
      <c r="C253" t="s">
        <v>17</v>
      </c>
      <c r="D253" t="s">
        <v>11</v>
      </c>
      <c r="E253" t="s">
        <v>48</v>
      </c>
      <c r="F253" t="s">
        <v>279</v>
      </c>
      <c r="G253">
        <v>4889.3599999999997</v>
      </c>
      <c r="H253">
        <v>2</v>
      </c>
      <c r="I253">
        <v>386.36</v>
      </c>
    </row>
    <row r="254" spans="1:9" x14ac:dyDescent="0.3">
      <c r="A254" t="s">
        <v>415</v>
      </c>
      <c r="B254" s="1">
        <v>45806</v>
      </c>
      <c r="C254" t="s">
        <v>10</v>
      </c>
      <c r="D254" t="s">
        <v>21</v>
      </c>
      <c r="E254" t="s">
        <v>22</v>
      </c>
      <c r="F254" t="s">
        <v>176</v>
      </c>
      <c r="G254">
        <v>4951.21</v>
      </c>
      <c r="H254">
        <v>5</v>
      </c>
      <c r="I254">
        <v>393.35</v>
      </c>
    </row>
    <row r="255" spans="1:9" x14ac:dyDescent="0.3">
      <c r="A255" t="s">
        <v>416</v>
      </c>
      <c r="B255" s="1">
        <v>45577</v>
      </c>
      <c r="C255" t="s">
        <v>25</v>
      </c>
      <c r="D255" t="s">
        <v>21</v>
      </c>
      <c r="E255" t="s">
        <v>29</v>
      </c>
      <c r="F255" t="s">
        <v>393</v>
      </c>
      <c r="G255">
        <v>1802.96</v>
      </c>
      <c r="H255">
        <v>10</v>
      </c>
      <c r="I255">
        <v>349.68</v>
      </c>
    </row>
    <row r="256" spans="1:9" x14ac:dyDescent="0.3">
      <c r="A256" t="s">
        <v>417</v>
      </c>
      <c r="B256" s="1">
        <v>45599</v>
      </c>
      <c r="C256" t="s">
        <v>28</v>
      </c>
      <c r="D256" t="s">
        <v>11</v>
      </c>
      <c r="E256" t="s">
        <v>18</v>
      </c>
      <c r="F256" t="s">
        <v>283</v>
      </c>
      <c r="G256">
        <v>1141.9100000000001</v>
      </c>
      <c r="H256">
        <v>7</v>
      </c>
      <c r="I256">
        <v>128.09</v>
      </c>
    </row>
    <row r="257" spans="1:9" x14ac:dyDescent="0.3">
      <c r="A257" t="s">
        <v>418</v>
      </c>
      <c r="B257" s="1">
        <v>45808</v>
      </c>
      <c r="C257" t="s">
        <v>17</v>
      </c>
      <c r="D257" t="s">
        <v>32</v>
      </c>
      <c r="E257" t="s">
        <v>39</v>
      </c>
      <c r="F257" t="s">
        <v>119</v>
      </c>
      <c r="G257">
        <v>4637.78</v>
      </c>
      <c r="H257">
        <v>9</v>
      </c>
      <c r="I257">
        <v>228.5</v>
      </c>
    </row>
    <row r="258" spans="1:9" x14ac:dyDescent="0.3">
      <c r="A258" t="s">
        <v>419</v>
      </c>
      <c r="B258" s="1">
        <v>45764</v>
      </c>
      <c r="C258" t="s">
        <v>25</v>
      </c>
      <c r="D258" t="s">
        <v>32</v>
      </c>
      <c r="E258" t="s">
        <v>33</v>
      </c>
      <c r="F258" t="s">
        <v>420</v>
      </c>
      <c r="G258">
        <v>3914.83</v>
      </c>
      <c r="H258">
        <v>4</v>
      </c>
      <c r="I258">
        <v>820.02</v>
      </c>
    </row>
    <row r="259" spans="1:9" x14ac:dyDescent="0.3">
      <c r="A259" t="s">
        <v>421</v>
      </c>
      <c r="B259" s="1">
        <v>45499</v>
      </c>
      <c r="C259" t="s">
        <v>25</v>
      </c>
      <c r="D259" t="s">
        <v>32</v>
      </c>
      <c r="E259" t="s">
        <v>33</v>
      </c>
      <c r="F259" t="s">
        <v>353</v>
      </c>
      <c r="G259">
        <v>775.48</v>
      </c>
      <c r="H259">
        <v>6</v>
      </c>
      <c r="I259">
        <v>193.27</v>
      </c>
    </row>
    <row r="260" spans="1:9" x14ac:dyDescent="0.3">
      <c r="A260" t="s">
        <v>422</v>
      </c>
      <c r="B260" s="1">
        <v>45892</v>
      </c>
      <c r="C260" t="s">
        <v>25</v>
      </c>
      <c r="D260" t="s">
        <v>21</v>
      </c>
      <c r="E260" t="s">
        <v>22</v>
      </c>
      <c r="F260" t="s">
        <v>137</v>
      </c>
      <c r="G260">
        <v>2105.37</v>
      </c>
      <c r="H260">
        <v>7</v>
      </c>
      <c r="I260">
        <v>489.66</v>
      </c>
    </row>
    <row r="261" spans="1:9" x14ac:dyDescent="0.3">
      <c r="A261" t="s">
        <v>423</v>
      </c>
      <c r="B261" s="1">
        <v>45930</v>
      </c>
      <c r="C261" t="s">
        <v>17</v>
      </c>
      <c r="D261" t="s">
        <v>11</v>
      </c>
      <c r="E261" t="s">
        <v>12</v>
      </c>
      <c r="F261" t="s">
        <v>424</v>
      </c>
      <c r="G261">
        <v>3685.43</v>
      </c>
      <c r="H261">
        <v>8</v>
      </c>
      <c r="I261">
        <v>898.07</v>
      </c>
    </row>
    <row r="262" spans="1:9" x14ac:dyDescent="0.3">
      <c r="A262" t="s">
        <v>425</v>
      </c>
      <c r="B262" s="1">
        <v>45301</v>
      </c>
      <c r="C262" t="s">
        <v>28</v>
      </c>
      <c r="D262" t="s">
        <v>21</v>
      </c>
      <c r="E262" t="s">
        <v>22</v>
      </c>
      <c r="F262" t="s">
        <v>353</v>
      </c>
      <c r="G262">
        <v>2337.69</v>
      </c>
      <c r="H262">
        <v>8</v>
      </c>
      <c r="I262">
        <v>84.89</v>
      </c>
    </row>
    <row r="263" spans="1:9" x14ac:dyDescent="0.3">
      <c r="A263" t="s">
        <v>426</v>
      </c>
      <c r="B263" s="1">
        <v>45958</v>
      </c>
      <c r="C263" t="s">
        <v>28</v>
      </c>
      <c r="D263" t="s">
        <v>21</v>
      </c>
      <c r="E263" t="s">
        <v>22</v>
      </c>
      <c r="F263" t="s">
        <v>370</v>
      </c>
      <c r="G263">
        <v>476.36</v>
      </c>
      <c r="H263">
        <v>3</v>
      </c>
      <c r="I263">
        <v>17.55</v>
      </c>
    </row>
    <row r="264" spans="1:9" x14ac:dyDescent="0.3">
      <c r="A264" t="s">
        <v>427</v>
      </c>
      <c r="B264" s="1">
        <v>45711</v>
      </c>
      <c r="C264" t="s">
        <v>25</v>
      </c>
      <c r="D264" t="s">
        <v>11</v>
      </c>
      <c r="E264" t="s">
        <v>18</v>
      </c>
      <c r="F264" t="s">
        <v>42</v>
      </c>
      <c r="G264">
        <v>413.15</v>
      </c>
      <c r="H264">
        <v>10</v>
      </c>
      <c r="I264">
        <v>33.76</v>
      </c>
    </row>
    <row r="265" spans="1:9" x14ac:dyDescent="0.3">
      <c r="A265" t="s">
        <v>428</v>
      </c>
      <c r="B265" s="1">
        <v>45420</v>
      </c>
      <c r="C265" t="s">
        <v>28</v>
      </c>
      <c r="D265" t="s">
        <v>32</v>
      </c>
      <c r="E265" t="s">
        <v>39</v>
      </c>
      <c r="F265" t="s">
        <v>101</v>
      </c>
      <c r="G265">
        <v>872.41</v>
      </c>
      <c r="H265">
        <v>5</v>
      </c>
      <c r="I265">
        <v>162.78</v>
      </c>
    </row>
    <row r="266" spans="1:9" x14ac:dyDescent="0.3">
      <c r="A266" t="s">
        <v>429</v>
      </c>
      <c r="B266" s="1">
        <v>45903</v>
      </c>
      <c r="C266" t="s">
        <v>17</v>
      </c>
      <c r="D266" t="s">
        <v>21</v>
      </c>
      <c r="E266" t="s">
        <v>22</v>
      </c>
      <c r="F266" t="s">
        <v>430</v>
      </c>
      <c r="G266">
        <v>925.44</v>
      </c>
      <c r="H266">
        <v>8</v>
      </c>
      <c r="I266">
        <v>-79.31</v>
      </c>
    </row>
    <row r="267" spans="1:9" x14ac:dyDescent="0.3">
      <c r="A267" t="s">
        <v>431</v>
      </c>
      <c r="B267" s="1">
        <v>45919</v>
      </c>
      <c r="C267" t="s">
        <v>28</v>
      </c>
      <c r="D267" t="s">
        <v>21</v>
      </c>
      <c r="E267" t="s">
        <v>36</v>
      </c>
      <c r="F267" t="s">
        <v>432</v>
      </c>
      <c r="G267">
        <v>2044.5</v>
      </c>
      <c r="H267">
        <v>5</v>
      </c>
      <c r="I267">
        <v>-131.61000000000001</v>
      </c>
    </row>
    <row r="268" spans="1:9" x14ac:dyDescent="0.3">
      <c r="A268" t="s">
        <v>433</v>
      </c>
      <c r="B268" s="1">
        <v>45670</v>
      </c>
      <c r="C268" t="s">
        <v>17</v>
      </c>
      <c r="D268" t="s">
        <v>32</v>
      </c>
      <c r="E268" t="s">
        <v>39</v>
      </c>
      <c r="F268" t="s">
        <v>288</v>
      </c>
      <c r="G268">
        <v>4299.24</v>
      </c>
      <c r="H268">
        <v>2</v>
      </c>
      <c r="I268">
        <v>826.53</v>
      </c>
    </row>
    <row r="269" spans="1:9" x14ac:dyDescent="0.3">
      <c r="A269" t="s">
        <v>434</v>
      </c>
      <c r="B269" s="1">
        <v>45619</v>
      </c>
      <c r="C269" t="s">
        <v>25</v>
      </c>
      <c r="D269" t="s">
        <v>21</v>
      </c>
      <c r="E269" t="s">
        <v>22</v>
      </c>
      <c r="F269" t="s">
        <v>340</v>
      </c>
      <c r="G269">
        <v>680.48</v>
      </c>
      <c r="H269">
        <v>10</v>
      </c>
      <c r="I269">
        <v>-6.06</v>
      </c>
    </row>
    <row r="270" spans="1:9" x14ac:dyDescent="0.3">
      <c r="A270" t="s">
        <v>435</v>
      </c>
      <c r="B270" s="1">
        <v>45466</v>
      </c>
      <c r="C270" t="s">
        <v>10</v>
      </c>
      <c r="D270" t="s">
        <v>32</v>
      </c>
      <c r="E270" t="s">
        <v>39</v>
      </c>
      <c r="F270" t="s">
        <v>436</v>
      </c>
      <c r="G270">
        <v>3798.68</v>
      </c>
      <c r="H270">
        <v>4</v>
      </c>
      <c r="I270">
        <v>110.69</v>
      </c>
    </row>
    <row r="271" spans="1:9" x14ac:dyDescent="0.3">
      <c r="A271" t="s">
        <v>437</v>
      </c>
      <c r="B271" s="1">
        <v>45382</v>
      </c>
      <c r="C271" t="s">
        <v>10</v>
      </c>
      <c r="D271" t="s">
        <v>32</v>
      </c>
      <c r="E271" t="s">
        <v>73</v>
      </c>
      <c r="F271" t="s">
        <v>438</v>
      </c>
      <c r="G271">
        <v>2437.1799999999998</v>
      </c>
      <c r="H271">
        <v>6</v>
      </c>
      <c r="I271">
        <v>-72.63</v>
      </c>
    </row>
    <row r="272" spans="1:9" x14ac:dyDescent="0.3">
      <c r="A272" t="s">
        <v>439</v>
      </c>
      <c r="B272" s="1">
        <v>45935</v>
      </c>
      <c r="C272" t="s">
        <v>10</v>
      </c>
      <c r="D272" t="s">
        <v>11</v>
      </c>
      <c r="E272" t="s">
        <v>12</v>
      </c>
      <c r="F272" t="s">
        <v>440</v>
      </c>
      <c r="G272">
        <v>1335.42</v>
      </c>
      <c r="H272">
        <v>9</v>
      </c>
      <c r="I272">
        <v>255.94</v>
      </c>
    </row>
    <row r="273" spans="1:9" x14ac:dyDescent="0.3">
      <c r="A273" t="s">
        <v>441</v>
      </c>
      <c r="B273" s="1">
        <v>45576</v>
      </c>
      <c r="C273" t="s">
        <v>10</v>
      </c>
      <c r="D273" t="s">
        <v>21</v>
      </c>
      <c r="E273" t="s">
        <v>22</v>
      </c>
      <c r="F273" t="s">
        <v>279</v>
      </c>
      <c r="G273">
        <v>2190.19</v>
      </c>
      <c r="H273">
        <v>8</v>
      </c>
      <c r="I273">
        <v>-4.1500000000000004</v>
      </c>
    </row>
    <row r="274" spans="1:9" x14ac:dyDescent="0.3">
      <c r="A274" t="s">
        <v>442</v>
      </c>
      <c r="B274" s="1">
        <v>45388</v>
      </c>
      <c r="C274" t="s">
        <v>10</v>
      </c>
      <c r="D274" t="s">
        <v>21</v>
      </c>
      <c r="E274" t="s">
        <v>22</v>
      </c>
      <c r="F274" t="s">
        <v>443</v>
      </c>
      <c r="G274">
        <v>2916.01</v>
      </c>
      <c r="H274">
        <v>4</v>
      </c>
      <c r="I274">
        <v>134.32</v>
      </c>
    </row>
    <row r="275" spans="1:9" x14ac:dyDescent="0.3">
      <c r="A275" t="s">
        <v>444</v>
      </c>
      <c r="B275" s="1">
        <v>45808</v>
      </c>
      <c r="C275" t="s">
        <v>17</v>
      </c>
      <c r="D275" t="s">
        <v>21</v>
      </c>
      <c r="E275" t="s">
        <v>22</v>
      </c>
      <c r="F275" t="s">
        <v>318</v>
      </c>
      <c r="G275">
        <v>4123.95</v>
      </c>
      <c r="H275">
        <v>3</v>
      </c>
      <c r="I275">
        <v>-394.17</v>
      </c>
    </row>
    <row r="276" spans="1:9" x14ac:dyDescent="0.3">
      <c r="A276" t="s">
        <v>445</v>
      </c>
      <c r="B276" s="1">
        <v>45874</v>
      </c>
      <c r="C276" t="s">
        <v>17</v>
      </c>
      <c r="D276" t="s">
        <v>21</v>
      </c>
      <c r="E276" t="s">
        <v>29</v>
      </c>
      <c r="F276" t="s">
        <v>51</v>
      </c>
      <c r="G276">
        <v>4275.9399999999996</v>
      </c>
      <c r="H276">
        <v>8</v>
      </c>
      <c r="I276">
        <v>1033.17</v>
      </c>
    </row>
    <row r="277" spans="1:9" x14ac:dyDescent="0.3">
      <c r="A277" t="s">
        <v>446</v>
      </c>
      <c r="B277" s="1">
        <v>45955</v>
      </c>
      <c r="C277" t="s">
        <v>25</v>
      </c>
      <c r="D277" t="s">
        <v>32</v>
      </c>
      <c r="E277" t="s">
        <v>33</v>
      </c>
      <c r="F277" t="s">
        <v>244</v>
      </c>
      <c r="G277">
        <v>684.98</v>
      </c>
      <c r="H277">
        <v>7</v>
      </c>
      <c r="I277">
        <v>171.38</v>
      </c>
    </row>
    <row r="278" spans="1:9" x14ac:dyDescent="0.3">
      <c r="A278" t="s">
        <v>447</v>
      </c>
      <c r="B278" s="1">
        <v>45931</v>
      </c>
      <c r="C278" t="s">
        <v>25</v>
      </c>
      <c r="D278" t="s">
        <v>21</v>
      </c>
      <c r="E278" t="s">
        <v>36</v>
      </c>
      <c r="F278" t="s">
        <v>443</v>
      </c>
      <c r="G278">
        <v>4621.9399999999996</v>
      </c>
      <c r="H278">
        <v>5</v>
      </c>
      <c r="I278">
        <v>1287.2</v>
      </c>
    </row>
    <row r="279" spans="1:9" x14ac:dyDescent="0.3">
      <c r="A279" t="s">
        <v>448</v>
      </c>
      <c r="B279" s="1">
        <v>45746</v>
      </c>
      <c r="C279" t="s">
        <v>17</v>
      </c>
      <c r="D279" t="s">
        <v>32</v>
      </c>
      <c r="E279" t="s">
        <v>33</v>
      </c>
      <c r="F279" t="s">
        <v>152</v>
      </c>
      <c r="G279">
        <v>4976.88</v>
      </c>
      <c r="H279">
        <v>8</v>
      </c>
      <c r="I279">
        <v>370.78</v>
      </c>
    </row>
    <row r="280" spans="1:9" x14ac:dyDescent="0.3">
      <c r="A280" t="s">
        <v>449</v>
      </c>
      <c r="B280" s="1">
        <v>45871</v>
      </c>
      <c r="C280" t="s">
        <v>28</v>
      </c>
      <c r="D280" t="s">
        <v>11</v>
      </c>
      <c r="E280" t="s">
        <v>48</v>
      </c>
      <c r="F280" t="s">
        <v>450</v>
      </c>
      <c r="G280">
        <v>1838.89</v>
      </c>
      <c r="H280">
        <v>8</v>
      </c>
      <c r="I280">
        <v>485.28</v>
      </c>
    </row>
    <row r="281" spans="1:9" x14ac:dyDescent="0.3">
      <c r="A281" t="s">
        <v>451</v>
      </c>
      <c r="B281" s="1">
        <v>45993</v>
      </c>
      <c r="C281" t="s">
        <v>17</v>
      </c>
      <c r="D281" t="s">
        <v>11</v>
      </c>
      <c r="E281" t="s">
        <v>48</v>
      </c>
      <c r="F281" t="s">
        <v>129</v>
      </c>
      <c r="G281">
        <v>2744.64</v>
      </c>
      <c r="H281">
        <v>1</v>
      </c>
      <c r="I281">
        <v>-226.85</v>
      </c>
    </row>
    <row r="282" spans="1:9" x14ac:dyDescent="0.3">
      <c r="A282" t="s">
        <v>452</v>
      </c>
      <c r="B282" s="1">
        <v>45954</v>
      </c>
      <c r="C282" t="s">
        <v>17</v>
      </c>
      <c r="D282" t="s">
        <v>21</v>
      </c>
      <c r="E282" t="s">
        <v>29</v>
      </c>
      <c r="F282" t="s">
        <v>84</v>
      </c>
      <c r="G282">
        <v>1772.39</v>
      </c>
      <c r="H282">
        <v>7</v>
      </c>
      <c r="I282">
        <v>-42.7</v>
      </c>
    </row>
    <row r="283" spans="1:9" x14ac:dyDescent="0.3">
      <c r="A283" t="s">
        <v>453</v>
      </c>
      <c r="B283" s="1">
        <v>45399</v>
      </c>
      <c r="C283" t="s">
        <v>25</v>
      </c>
      <c r="D283" t="s">
        <v>21</v>
      </c>
      <c r="E283" t="s">
        <v>29</v>
      </c>
      <c r="F283" t="s">
        <v>370</v>
      </c>
      <c r="G283">
        <v>1404.15</v>
      </c>
      <c r="H283">
        <v>2</v>
      </c>
      <c r="I283">
        <v>336.57</v>
      </c>
    </row>
    <row r="284" spans="1:9" x14ac:dyDescent="0.3">
      <c r="A284" t="s">
        <v>454</v>
      </c>
      <c r="B284" s="1">
        <v>45531</v>
      </c>
      <c r="C284" t="s">
        <v>28</v>
      </c>
      <c r="D284" t="s">
        <v>21</v>
      </c>
      <c r="E284" t="s">
        <v>36</v>
      </c>
      <c r="F284" t="s">
        <v>404</v>
      </c>
      <c r="G284">
        <v>770.67</v>
      </c>
      <c r="H284">
        <v>9</v>
      </c>
      <c r="I284">
        <v>202.83</v>
      </c>
    </row>
    <row r="285" spans="1:9" x14ac:dyDescent="0.3">
      <c r="A285" t="s">
        <v>455</v>
      </c>
      <c r="B285" s="1">
        <v>45738</v>
      </c>
      <c r="C285" t="s">
        <v>17</v>
      </c>
      <c r="D285" t="s">
        <v>32</v>
      </c>
      <c r="E285" t="s">
        <v>33</v>
      </c>
      <c r="F285" t="s">
        <v>375</v>
      </c>
      <c r="G285">
        <v>3877.19</v>
      </c>
      <c r="H285">
        <v>4</v>
      </c>
      <c r="I285">
        <v>82.7</v>
      </c>
    </row>
    <row r="286" spans="1:9" x14ac:dyDescent="0.3">
      <c r="A286" t="s">
        <v>456</v>
      </c>
      <c r="B286" s="1">
        <v>45464</v>
      </c>
      <c r="C286" t="s">
        <v>28</v>
      </c>
      <c r="D286" t="s">
        <v>11</v>
      </c>
      <c r="E286" t="s">
        <v>48</v>
      </c>
      <c r="F286" t="s">
        <v>129</v>
      </c>
      <c r="G286">
        <v>1342.59</v>
      </c>
      <c r="H286">
        <v>5</v>
      </c>
      <c r="I286">
        <v>-88.33</v>
      </c>
    </row>
    <row r="287" spans="1:9" x14ac:dyDescent="0.3">
      <c r="A287" t="s">
        <v>457</v>
      </c>
      <c r="B287" s="1">
        <v>45517</v>
      </c>
      <c r="C287" t="s">
        <v>17</v>
      </c>
      <c r="D287" t="s">
        <v>32</v>
      </c>
      <c r="E287" t="s">
        <v>39</v>
      </c>
      <c r="F287" t="s">
        <v>148</v>
      </c>
      <c r="G287">
        <v>1036.95</v>
      </c>
      <c r="H287">
        <v>8</v>
      </c>
      <c r="I287">
        <v>122.09</v>
      </c>
    </row>
    <row r="288" spans="1:9" x14ac:dyDescent="0.3">
      <c r="A288" t="s">
        <v>458</v>
      </c>
      <c r="B288" s="1">
        <v>45474</v>
      </c>
      <c r="C288" t="s">
        <v>25</v>
      </c>
      <c r="D288" t="s">
        <v>21</v>
      </c>
      <c r="E288" t="s">
        <v>22</v>
      </c>
      <c r="F288" t="s">
        <v>459</v>
      </c>
      <c r="G288">
        <v>4341.8599999999997</v>
      </c>
      <c r="H288">
        <v>4</v>
      </c>
      <c r="I288">
        <v>507.41</v>
      </c>
    </row>
    <row r="289" spans="1:9" x14ac:dyDescent="0.3">
      <c r="A289" t="s">
        <v>460</v>
      </c>
      <c r="B289" s="1">
        <v>45756</v>
      </c>
      <c r="C289" t="s">
        <v>17</v>
      </c>
      <c r="D289" t="s">
        <v>32</v>
      </c>
      <c r="E289" t="s">
        <v>39</v>
      </c>
      <c r="F289" t="s">
        <v>461</v>
      </c>
      <c r="G289">
        <v>98.91</v>
      </c>
      <c r="H289">
        <v>10</v>
      </c>
      <c r="I289">
        <v>13.4</v>
      </c>
    </row>
    <row r="290" spans="1:9" x14ac:dyDescent="0.3">
      <c r="A290" t="s">
        <v>462</v>
      </c>
      <c r="B290" s="1">
        <v>45732</v>
      </c>
      <c r="C290" t="s">
        <v>10</v>
      </c>
      <c r="D290" t="s">
        <v>21</v>
      </c>
      <c r="E290" t="s">
        <v>36</v>
      </c>
      <c r="F290" t="s">
        <v>123</v>
      </c>
      <c r="G290">
        <v>1571.33</v>
      </c>
      <c r="H290">
        <v>4</v>
      </c>
      <c r="I290">
        <v>166.59</v>
      </c>
    </row>
    <row r="291" spans="1:9" x14ac:dyDescent="0.3">
      <c r="A291" t="s">
        <v>463</v>
      </c>
      <c r="B291" s="1">
        <v>45745</v>
      </c>
      <c r="C291" t="s">
        <v>28</v>
      </c>
      <c r="D291" t="s">
        <v>11</v>
      </c>
      <c r="E291" t="s">
        <v>48</v>
      </c>
      <c r="F291" t="s">
        <v>368</v>
      </c>
      <c r="G291">
        <v>3395.03</v>
      </c>
      <c r="H291">
        <v>7</v>
      </c>
      <c r="I291">
        <v>635.38</v>
      </c>
    </row>
    <row r="292" spans="1:9" x14ac:dyDescent="0.3">
      <c r="A292" t="s">
        <v>464</v>
      </c>
      <c r="B292" s="1">
        <v>45890</v>
      </c>
      <c r="C292" t="s">
        <v>28</v>
      </c>
      <c r="D292" t="s">
        <v>11</v>
      </c>
      <c r="E292" t="s">
        <v>12</v>
      </c>
      <c r="F292" t="s">
        <v>438</v>
      </c>
      <c r="G292">
        <v>3141.2</v>
      </c>
      <c r="H292">
        <v>9</v>
      </c>
      <c r="I292">
        <v>768.95</v>
      </c>
    </row>
    <row r="293" spans="1:9" x14ac:dyDescent="0.3">
      <c r="A293" t="s">
        <v>465</v>
      </c>
      <c r="B293" s="1">
        <v>45514</v>
      </c>
      <c r="C293" t="s">
        <v>28</v>
      </c>
      <c r="D293" t="s">
        <v>32</v>
      </c>
      <c r="E293" t="s">
        <v>73</v>
      </c>
      <c r="F293" t="s">
        <v>192</v>
      </c>
      <c r="G293">
        <v>1582.86</v>
      </c>
      <c r="H293">
        <v>9</v>
      </c>
      <c r="I293">
        <v>66.239999999999995</v>
      </c>
    </row>
    <row r="294" spans="1:9" x14ac:dyDescent="0.3">
      <c r="A294" t="s">
        <v>466</v>
      </c>
      <c r="B294" s="1">
        <v>45557</v>
      </c>
      <c r="C294" t="s">
        <v>25</v>
      </c>
      <c r="D294" t="s">
        <v>21</v>
      </c>
      <c r="E294" t="s">
        <v>22</v>
      </c>
      <c r="F294" t="s">
        <v>232</v>
      </c>
      <c r="G294">
        <v>3239.87</v>
      </c>
      <c r="H294">
        <v>5</v>
      </c>
      <c r="I294">
        <v>777.23</v>
      </c>
    </row>
    <row r="295" spans="1:9" x14ac:dyDescent="0.3">
      <c r="A295" t="s">
        <v>467</v>
      </c>
      <c r="B295" s="1">
        <v>45974</v>
      </c>
      <c r="C295" t="s">
        <v>17</v>
      </c>
      <c r="D295" t="s">
        <v>21</v>
      </c>
      <c r="E295" t="s">
        <v>22</v>
      </c>
      <c r="F295" t="s">
        <v>279</v>
      </c>
      <c r="G295">
        <v>4859.78</v>
      </c>
      <c r="H295">
        <v>1</v>
      </c>
      <c r="I295">
        <v>162.38999999999999</v>
      </c>
    </row>
    <row r="296" spans="1:9" x14ac:dyDescent="0.3">
      <c r="A296" t="s">
        <v>468</v>
      </c>
      <c r="B296" s="1">
        <v>45310</v>
      </c>
      <c r="C296" t="s">
        <v>10</v>
      </c>
      <c r="D296" t="s">
        <v>11</v>
      </c>
      <c r="E296" t="s">
        <v>48</v>
      </c>
      <c r="F296" t="s">
        <v>398</v>
      </c>
      <c r="G296">
        <v>1991.06</v>
      </c>
      <c r="H296">
        <v>3</v>
      </c>
      <c r="I296">
        <v>419.92</v>
      </c>
    </row>
    <row r="297" spans="1:9" x14ac:dyDescent="0.3">
      <c r="A297" t="s">
        <v>469</v>
      </c>
      <c r="B297" s="1">
        <v>45490</v>
      </c>
      <c r="C297" t="s">
        <v>17</v>
      </c>
      <c r="D297" t="s">
        <v>32</v>
      </c>
      <c r="E297" t="s">
        <v>73</v>
      </c>
      <c r="F297" t="s">
        <v>279</v>
      </c>
      <c r="G297">
        <v>4324.12</v>
      </c>
      <c r="H297">
        <v>6</v>
      </c>
      <c r="I297">
        <v>658.56</v>
      </c>
    </row>
    <row r="298" spans="1:9" x14ac:dyDescent="0.3">
      <c r="A298" t="s">
        <v>470</v>
      </c>
      <c r="B298" s="1">
        <v>45938</v>
      </c>
      <c r="C298" t="s">
        <v>10</v>
      </c>
      <c r="D298" t="s">
        <v>32</v>
      </c>
      <c r="E298" t="s">
        <v>39</v>
      </c>
      <c r="F298" t="s">
        <v>209</v>
      </c>
      <c r="G298">
        <v>3396.99</v>
      </c>
      <c r="H298">
        <v>2</v>
      </c>
      <c r="I298">
        <v>789.37</v>
      </c>
    </row>
    <row r="299" spans="1:9" x14ac:dyDescent="0.3">
      <c r="A299" t="s">
        <v>471</v>
      </c>
      <c r="B299" s="1">
        <v>45682</v>
      </c>
      <c r="C299" t="s">
        <v>28</v>
      </c>
      <c r="D299" t="s">
        <v>21</v>
      </c>
      <c r="E299" t="s">
        <v>36</v>
      </c>
      <c r="F299" t="s">
        <v>55</v>
      </c>
      <c r="G299">
        <v>196.47</v>
      </c>
      <c r="H299">
        <v>1</v>
      </c>
      <c r="I299">
        <v>17.88</v>
      </c>
    </row>
    <row r="300" spans="1:9" x14ac:dyDescent="0.3">
      <c r="A300" t="s">
        <v>472</v>
      </c>
      <c r="B300" s="1">
        <v>45487</v>
      </c>
      <c r="C300" t="s">
        <v>25</v>
      </c>
      <c r="D300" t="s">
        <v>11</v>
      </c>
      <c r="E300" t="s">
        <v>12</v>
      </c>
      <c r="F300" t="s">
        <v>473</v>
      </c>
      <c r="G300">
        <v>3616.34</v>
      </c>
      <c r="H300">
        <v>5</v>
      </c>
      <c r="I300">
        <v>547.28</v>
      </c>
    </row>
    <row r="301" spans="1:9" x14ac:dyDescent="0.3">
      <c r="A301" t="s">
        <v>474</v>
      </c>
      <c r="B301" s="1">
        <v>45664</v>
      </c>
      <c r="C301" t="s">
        <v>17</v>
      </c>
      <c r="D301" t="s">
        <v>11</v>
      </c>
      <c r="E301" t="s">
        <v>12</v>
      </c>
      <c r="F301" t="s">
        <v>475</v>
      </c>
      <c r="G301">
        <v>2956.72</v>
      </c>
      <c r="H301">
        <v>6</v>
      </c>
      <c r="I301">
        <v>9.9499999999999993</v>
      </c>
    </row>
    <row r="302" spans="1:9" x14ac:dyDescent="0.3">
      <c r="A302" t="s">
        <v>476</v>
      </c>
      <c r="B302" s="1">
        <v>45653</v>
      </c>
      <c r="C302" t="s">
        <v>25</v>
      </c>
      <c r="D302" t="s">
        <v>21</v>
      </c>
      <c r="E302" t="s">
        <v>29</v>
      </c>
      <c r="F302" t="s">
        <v>477</v>
      </c>
      <c r="G302">
        <v>4937.87</v>
      </c>
      <c r="H302">
        <v>3</v>
      </c>
      <c r="I302">
        <v>686.28</v>
      </c>
    </row>
    <row r="303" spans="1:9" x14ac:dyDescent="0.3">
      <c r="A303" t="s">
        <v>478</v>
      </c>
      <c r="B303" s="1">
        <v>45422</v>
      </c>
      <c r="C303" t="s">
        <v>28</v>
      </c>
      <c r="D303" t="s">
        <v>21</v>
      </c>
      <c r="E303" t="s">
        <v>36</v>
      </c>
      <c r="F303" t="s">
        <v>343</v>
      </c>
      <c r="G303">
        <v>2276.77</v>
      </c>
      <c r="H303">
        <v>10</v>
      </c>
      <c r="I303">
        <v>599.47</v>
      </c>
    </row>
    <row r="304" spans="1:9" x14ac:dyDescent="0.3">
      <c r="A304" t="s">
        <v>479</v>
      </c>
      <c r="B304" s="1">
        <v>45330</v>
      </c>
      <c r="C304" t="s">
        <v>25</v>
      </c>
      <c r="D304" t="s">
        <v>32</v>
      </c>
      <c r="E304" t="s">
        <v>73</v>
      </c>
      <c r="F304" t="s">
        <v>480</v>
      </c>
      <c r="G304">
        <v>4673.7</v>
      </c>
      <c r="H304">
        <v>4</v>
      </c>
      <c r="I304">
        <v>298.39999999999998</v>
      </c>
    </row>
    <row r="305" spans="1:9" x14ac:dyDescent="0.3">
      <c r="A305" t="s">
        <v>481</v>
      </c>
      <c r="B305" s="1">
        <v>45543</v>
      </c>
      <c r="C305" t="s">
        <v>28</v>
      </c>
      <c r="D305" t="s">
        <v>11</v>
      </c>
      <c r="E305" t="s">
        <v>48</v>
      </c>
      <c r="F305" t="s">
        <v>219</v>
      </c>
      <c r="G305">
        <v>2227.09</v>
      </c>
      <c r="H305">
        <v>5</v>
      </c>
      <c r="I305">
        <v>441.19</v>
      </c>
    </row>
    <row r="306" spans="1:9" x14ac:dyDescent="0.3">
      <c r="A306" t="s">
        <v>482</v>
      </c>
      <c r="B306" s="1">
        <v>45297</v>
      </c>
      <c r="C306" t="s">
        <v>17</v>
      </c>
      <c r="D306" t="s">
        <v>21</v>
      </c>
      <c r="E306" t="s">
        <v>36</v>
      </c>
      <c r="F306" t="s">
        <v>135</v>
      </c>
      <c r="G306">
        <v>3601.27</v>
      </c>
      <c r="H306">
        <v>2</v>
      </c>
      <c r="I306">
        <v>-191.07</v>
      </c>
    </row>
    <row r="307" spans="1:9" x14ac:dyDescent="0.3">
      <c r="A307" t="s">
        <v>483</v>
      </c>
      <c r="B307" s="1">
        <v>45832</v>
      </c>
      <c r="C307" t="s">
        <v>28</v>
      </c>
      <c r="D307" t="s">
        <v>21</v>
      </c>
      <c r="E307" t="s">
        <v>36</v>
      </c>
      <c r="F307" t="s">
        <v>133</v>
      </c>
      <c r="G307">
        <v>4651.13</v>
      </c>
      <c r="H307">
        <v>3</v>
      </c>
      <c r="I307">
        <v>-365.12</v>
      </c>
    </row>
    <row r="308" spans="1:9" x14ac:dyDescent="0.3">
      <c r="A308" t="s">
        <v>484</v>
      </c>
      <c r="B308" s="1">
        <v>45905</v>
      </c>
      <c r="C308" t="s">
        <v>10</v>
      </c>
      <c r="D308" t="s">
        <v>32</v>
      </c>
      <c r="E308" t="s">
        <v>39</v>
      </c>
      <c r="F308" t="s">
        <v>327</v>
      </c>
      <c r="G308">
        <v>2392.89</v>
      </c>
      <c r="H308">
        <v>1</v>
      </c>
      <c r="I308">
        <v>-166.08</v>
      </c>
    </row>
    <row r="309" spans="1:9" x14ac:dyDescent="0.3">
      <c r="A309" t="s">
        <v>485</v>
      </c>
      <c r="B309" s="1">
        <v>45336</v>
      </c>
      <c r="C309" t="s">
        <v>28</v>
      </c>
      <c r="D309" t="s">
        <v>11</v>
      </c>
      <c r="E309" t="s">
        <v>48</v>
      </c>
      <c r="F309" t="s">
        <v>23</v>
      </c>
      <c r="G309">
        <v>239.42</v>
      </c>
      <c r="H309">
        <v>1</v>
      </c>
      <c r="I309">
        <v>-22.97</v>
      </c>
    </row>
    <row r="310" spans="1:9" x14ac:dyDescent="0.3">
      <c r="A310" t="s">
        <v>486</v>
      </c>
      <c r="B310" s="1">
        <v>45896</v>
      </c>
      <c r="C310" t="s">
        <v>28</v>
      </c>
      <c r="D310" t="s">
        <v>21</v>
      </c>
      <c r="E310" t="s">
        <v>36</v>
      </c>
      <c r="F310" t="s">
        <v>74</v>
      </c>
      <c r="G310">
        <v>4733.88</v>
      </c>
      <c r="H310">
        <v>3</v>
      </c>
      <c r="I310">
        <v>-215.94</v>
      </c>
    </row>
    <row r="311" spans="1:9" x14ac:dyDescent="0.3">
      <c r="A311" t="s">
        <v>487</v>
      </c>
      <c r="B311" s="1">
        <v>45314</v>
      </c>
      <c r="C311" t="s">
        <v>28</v>
      </c>
      <c r="D311" t="s">
        <v>11</v>
      </c>
      <c r="E311" t="s">
        <v>48</v>
      </c>
      <c r="F311" t="s">
        <v>488</v>
      </c>
      <c r="G311">
        <v>3793.23</v>
      </c>
      <c r="H311">
        <v>2</v>
      </c>
      <c r="I311">
        <v>56.16</v>
      </c>
    </row>
    <row r="312" spans="1:9" x14ac:dyDescent="0.3">
      <c r="A312" t="s">
        <v>489</v>
      </c>
      <c r="B312" s="1">
        <v>45612</v>
      </c>
      <c r="C312" t="s">
        <v>17</v>
      </c>
      <c r="D312" t="s">
        <v>32</v>
      </c>
      <c r="E312" t="s">
        <v>39</v>
      </c>
      <c r="F312" t="s">
        <v>270</v>
      </c>
      <c r="G312">
        <v>3930.62</v>
      </c>
      <c r="H312">
        <v>1</v>
      </c>
      <c r="I312">
        <v>689.33</v>
      </c>
    </row>
    <row r="313" spans="1:9" x14ac:dyDescent="0.3">
      <c r="A313" t="s">
        <v>490</v>
      </c>
      <c r="B313" s="1">
        <v>45457</v>
      </c>
      <c r="C313" t="s">
        <v>10</v>
      </c>
      <c r="D313" t="s">
        <v>21</v>
      </c>
      <c r="E313" t="s">
        <v>22</v>
      </c>
      <c r="F313" t="s">
        <v>55</v>
      </c>
      <c r="G313">
        <v>2054.59</v>
      </c>
      <c r="H313">
        <v>1</v>
      </c>
      <c r="I313">
        <v>532.26</v>
      </c>
    </row>
    <row r="314" spans="1:9" x14ac:dyDescent="0.3">
      <c r="A314" t="s">
        <v>491</v>
      </c>
      <c r="B314" s="1">
        <v>45522</v>
      </c>
      <c r="C314" t="s">
        <v>25</v>
      </c>
      <c r="D314" t="s">
        <v>21</v>
      </c>
      <c r="E314" t="s">
        <v>22</v>
      </c>
      <c r="F314" t="s">
        <v>492</v>
      </c>
      <c r="G314">
        <v>4341.3500000000004</v>
      </c>
      <c r="H314">
        <v>4</v>
      </c>
      <c r="I314">
        <v>818.7</v>
      </c>
    </row>
    <row r="315" spans="1:9" x14ac:dyDescent="0.3">
      <c r="A315" t="s">
        <v>493</v>
      </c>
      <c r="B315" s="1">
        <v>45400</v>
      </c>
      <c r="C315" t="s">
        <v>28</v>
      </c>
      <c r="D315" t="s">
        <v>11</v>
      </c>
      <c r="E315" t="s">
        <v>12</v>
      </c>
      <c r="F315" t="s">
        <v>494</v>
      </c>
      <c r="G315">
        <v>4441.41</v>
      </c>
      <c r="H315">
        <v>9</v>
      </c>
      <c r="I315">
        <v>412.88</v>
      </c>
    </row>
    <row r="316" spans="1:9" x14ac:dyDescent="0.3">
      <c r="A316" t="s">
        <v>495</v>
      </c>
      <c r="B316" s="1">
        <v>45306</v>
      </c>
      <c r="C316" t="s">
        <v>17</v>
      </c>
      <c r="D316" t="s">
        <v>11</v>
      </c>
      <c r="E316" t="s">
        <v>48</v>
      </c>
      <c r="F316" t="s">
        <v>107</v>
      </c>
      <c r="G316">
        <v>3050.51</v>
      </c>
      <c r="H316">
        <v>10</v>
      </c>
      <c r="I316">
        <v>-33.299999999999997</v>
      </c>
    </row>
    <row r="317" spans="1:9" x14ac:dyDescent="0.3">
      <c r="A317" t="s">
        <v>496</v>
      </c>
      <c r="B317" s="1">
        <v>45860</v>
      </c>
      <c r="C317" t="s">
        <v>10</v>
      </c>
      <c r="D317" t="s">
        <v>32</v>
      </c>
      <c r="E317" t="s">
        <v>73</v>
      </c>
      <c r="F317" t="s">
        <v>497</v>
      </c>
      <c r="G317">
        <v>2295.6799999999998</v>
      </c>
      <c r="H317">
        <v>2</v>
      </c>
      <c r="I317">
        <v>173.69</v>
      </c>
    </row>
    <row r="318" spans="1:9" x14ac:dyDescent="0.3">
      <c r="A318" t="s">
        <v>498</v>
      </c>
      <c r="B318" s="1">
        <v>45901</v>
      </c>
      <c r="C318" t="s">
        <v>25</v>
      </c>
      <c r="D318" t="s">
        <v>11</v>
      </c>
      <c r="E318" t="s">
        <v>48</v>
      </c>
      <c r="F318" t="s">
        <v>323</v>
      </c>
      <c r="G318">
        <v>2378.8200000000002</v>
      </c>
      <c r="H318">
        <v>6</v>
      </c>
      <c r="I318">
        <v>262.25</v>
      </c>
    </row>
    <row r="319" spans="1:9" x14ac:dyDescent="0.3">
      <c r="A319" t="s">
        <v>499</v>
      </c>
      <c r="B319" s="1">
        <v>45518</v>
      </c>
      <c r="C319" t="s">
        <v>17</v>
      </c>
      <c r="D319" t="s">
        <v>21</v>
      </c>
      <c r="E319" t="s">
        <v>29</v>
      </c>
      <c r="F319" t="s">
        <v>141</v>
      </c>
      <c r="G319">
        <v>3513.8</v>
      </c>
      <c r="H319">
        <v>5</v>
      </c>
      <c r="I319">
        <v>410.71</v>
      </c>
    </row>
    <row r="320" spans="1:9" x14ac:dyDescent="0.3">
      <c r="A320" t="s">
        <v>500</v>
      </c>
      <c r="B320" s="1">
        <v>45707</v>
      </c>
      <c r="C320" t="s">
        <v>10</v>
      </c>
      <c r="D320" t="s">
        <v>32</v>
      </c>
      <c r="E320" t="s">
        <v>73</v>
      </c>
      <c r="F320" t="s">
        <v>19</v>
      </c>
      <c r="G320">
        <v>4266.63</v>
      </c>
      <c r="H320">
        <v>9</v>
      </c>
      <c r="I320">
        <v>871.49</v>
      </c>
    </row>
    <row r="321" spans="1:9" x14ac:dyDescent="0.3">
      <c r="A321" t="s">
        <v>501</v>
      </c>
      <c r="B321" s="1">
        <v>45473</v>
      </c>
      <c r="C321" t="s">
        <v>17</v>
      </c>
      <c r="D321" t="s">
        <v>11</v>
      </c>
      <c r="E321" t="s">
        <v>18</v>
      </c>
      <c r="F321" t="s">
        <v>166</v>
      </c>
      <c r="G321">
        <v>4682.13</v>
      </c>
      <c r="H321">
        <v>4</v>
      </c>
      <c r="I321">
        <v>-140.34</v>
      </c>
    </row>
    <row r="322" spans="1:9" x14ac:dyDescent="0.3">
      <c r="A322" t="s">
        <v>502</v>
      </c>
      <c r="B322" s="1">
        <v>45325</v>
      </c>
      <c r="C322" t="s">
        <v>17</v>
      </c>
      <c r="D322" t="s">
        <v>32</v>
      </c>
      <c r="E322" t="s">
        <v>33</v>
      </c>
      <c r="F322" t="s">
        <v>494</v>
      </c>
      <c r="G322">
        <v>4581.1499999999996</v>
      </c>
      <c r="H322">
        <v>7</v>
      </c>
      <c r="I322">
        <v>-112.51</v>
      </c>
    </row>
    <row r="323" spans="1:9" x14ac:dyDescent="0.3">
      <c r="A323" t="s">
        <v>503</v>
      </c>
      <c r="B323" s="1">
        <v>45825</v>
      </c>
      <c r="C323" t="s">
        <v>25</v>
      </c>
      <c r="D323" t="s">
        <v>21</v>
      </c>
      <c r="E323" t="s">
        <v>36</v>
      </c>
      <c r="F323" t="s">
        <v>176</v>
      </c>
      <c r="G323">
        <v>1523.75</v>
      </c>
      <c r="H323">
        <v>10</v>
      </c>
      <c r="I323">
        <v>293.12</v>
      </c>
    </row>
    <row r="324" spans="1:9" x14ac:dyDescent="0.3">
      <c r="A324" t="s">
        <v>504</v>
      </c>
      <c r="B324" s="1">
        <v>45876</v>
      </c>
      <c r="C324" t="s">
        <v>25</v>
      </c>
      <c r="D324" t="s">
        <v>32</v>
      </c>
      <c r="E324" t="s">
        <v>39</v>
      </c>
      <c r="F324" t="s">
        <v>40</v>
      </c>
      <c r="G324">
        <v>4760.91</v>
      </c>
      <c r="H324">
        <v>6</v>
      </c>
      <c r="I324">
        <v>1187.26</v>
      </c>
    </row>
    <row r="325" spans="1:9" x14ac:dyDescent="0.3">
      <c r="A325" t="s">
        <v>505</v>
      </c>
      <c r="B325" s="1">
        <v>45359</v>
      </c>
      <c r="C325" t="s">
        <v>10</v>
      </c>
      <c r="D325" t="s">
        <v>11</v>
      </c>
      <c r="E325" t="s">
        <v>18</v>
      </c>
      <c r="F325" t="s">
        <v>78</v>
      </c>
      <c r="G325">
        <v>1099.25</v>
      </c>
      <c r="H325">
        <v>7</v>
      </c>
      <c r="I325">
        <v>-45</v>
      </c>
    </row>
    <row r="326" spans="1:9" x14ac:dyDescent="0.3">
      <c r="A326" t="s">
        <v>506</v>
      </c>
      <c r="B326" s="1">
        <v>45798</v>
      </c>
      <c r="C326" t="s">
        <v>25</v>
      </c>
      <c r="D326" t="s">
        <v>11</v>
      </c>
      <c r="E326" t="s">
        <v>48</v>
      </c>
      <c r="F326" t="s">
        <v>195</v>
      </c>
      <c r="G326">
        <v>1998</v>
      </c>
      <c r="H326">
        <v>4</v>
      </c>
      <c r="I326">
        <v>369.25</v>
      </c>
    </row>
    <row r="327" spans="1:9" x14ac:dyDescent="0.3">
      <c r="A327" t="s">
        <v>507</v>
      </c>
      <c r="B327" s="1">
        <v>45549</v>
      </c>
      <c r="C327" t="s">
        <v>17</v>
      </c>
      <c r="D327" t="s">
        <v>21</v>
      </c>
      <c r="E327" t="s">
        <v>29</v>
      </c>
      <c r="F327" t="s">
        <v>195</v>
      </c>
      <c r="G327">
        <v>1256.8900000000001</v>
      </c>
      <c r="H327">
        <v>8</v>
      </c>
      <c r="I327">
        <v>73.17</v>
      </c>
    </row>
    <row r="328" spans="1:9" x14ac:dyDescent="0.3">
      <c r="A328" t="s">
        <v>508</v>
      </c>
      <c r="B328" s="1">
        <v>45417</v>
      </c>
      <c r="C328" t="s">
        <v>25</v>
      </c>
      <c r="D328" t="s">
        <v>32</v>
      </c>
      <c r="E328" t="s">
        <v>39</v>
      </c>
      <c r="F328" t="s">
        <v>78</v>
      </c>
      <c r="G328">
        <v>1258.82</v>
      </c>
      <c r="H328">
        <v>4</v>
      </c>
      <c r="I328">
        <v>109.41</v>
      </c>
    </row>
    <row r="329" spans="1:9" x14ac:dyDescent="0.3">
      <c r="A329" t="s">
        <v>509</v>
      </c>
      <c r="B329" s="1">
        <v>45968</v>
      </c>
      <c r="C329" t="s">
        <v>10</v>
      </c>
      <c r="D329" t="s">
        <v>11</v>
      </c>
      <c r="E329" t="s">
        <v>12</v>
      </c>
      <c r="F329" t="s">
        <v>93</v>
      </c>
      <c r="G329">
        <v>3213.98</v>
      </c>
      <c r="H329">
        <v>3</v>
      </c>
      <c r="I329">
        <v>-139.15</v>
      </c>
    </row>
    <row r="330" spans="1:9" x14ac:dyDescent="0.3">
      <c r="A330" t="s">
        <v>510</v>
      </c>
      <c r="B330" s="1">
        <v>45771</v>
      </c>
      <c r="C330" t="s">
        <v>17</v>
      </c>
      <c r="D330" t="s">
        <v>32</v>
      </c>
      <c r="E330" t="s">
        <v>39</v>
      </c>
      <c r="F330" t="s">
        <v>337</v>
      </c>
      <c r="G330">
        <v>3864.4</v>
      </c>
      <c r="H330">
        <v>7</v>
      </c>
      <c r="I330">
        <v>946.83</v>
      </c>
    </row>
    <row r="331" spans="1:9" x14ac:dyDescent="0.3">
      <c r="A331" t="s">
        <v>511</v>
      </c>
      <c r="B331" s="1">
        <v>45519</v>
      </c>
      <c r="C331" t="s">
        <v>25</v>
      </c>
      <c r="D331" t="s">
        <v>32</v>
      </c>
      <c r="E331" t="s">
        <v>33</v>
      </c>
      <c r="F331" t="s">
        <v>237</v>
      </c>
      <c r="G331">
        <v>1116.52</v>
      </c>
      <c r="H331">
        <v>9</v>
      </c>
      <c r="I331">
        <v>203.57</v>
      </c>
    </row>
    <row r="332" spans="1:9" x14ac:dyDescent="0.3">
      <c r="A332" t="s">
        <v>512</v>
      </c>
      <c r="B332" s="1">
        <v>46022</v>
      </c>
      <c r="C332" t="s">
        <v>28</v>
      </c>
      <c r="D332" t="s">
        <v>21</v>
      </c>
      <c r="E332" t="s">
        <v>29</v>
      </c>
      <c r="F332" t="s">
        <v>461</v>
      </c>
      <c r="G332">
        <v>4980.79</v>
      </c>
      <c r="H332">
        <v>2</v>
      </c>
      <c r="I332">
        <v>-199.05</v>
      </c>
    </row>
    <row r="333" spans="1:9" x14ac:dyDescent="0.3">
      <c r="A333" t="s">
        <v>513</v>
      </c>
      <c r="B333" s="1">
        <v>45580</v>
      </c>
      <c r="C333" t="s">
        <v>28</v>
      </c>
      <c r="D333" t="s">
        <v>32</v>
      </c>
      <c r="E333" t="s">
        <v>39</v>
      </c>
      <c r="F333" t="s">
        <v>180</v>
      </c>
      <c r="G333">
        <v>1520.33</v>
      </c>
      <c r="H333">
        <v>8</v>
      </c>
      <c r="I333">
        <v>301.89</v>
      </c>
    </row>
    <row r="334" spans="1:9" x14ac:dyDescent="0.3">
      <c r="A334" t="s">
        <v>514</v>
      </c>
      <c r="B334" s="1">
        <v>45836</v>
      </c>
      <c r="C334" t="s">
        <v>28</v>
      </c>
      <c r="D334" t="s">
        <v>32</v>
      </c>
      <c r="E334" t="s">
        <v>73</v>
      </c>
      <c r="F334" t="s">
        <v>144</v>
      </c>
      <c r="G334">
        <v>2951.08</v>
      </c>
      <c r="H334">
        <v>1</v>
      </c>
      <c r="I334">
        <v>129.63</v>
      </c>
    </row>
    <row r="335" spans="1:9" x14ac:dyDescent="0.3">
      <c r="A335" t="s">
        <v>515</v>
      </c>
      <c r="B335" s="1">
        <v>45337</v>
      </c>
      <c r="C335" t="s">
        <v>10</v>
      </c>
      <c r="D335" t="s">
        <v>32</v>
      </c>
      <c r="E335" t="s">
        <v>39</v>
      </c>
      <c r="F335" t="s">
        <v>127</v>
      </c>
      <c r="G335">
        <v>3196.54</v>
      </c>
      <c r="H335">
        <v>1</v>
      </c>
      <c r="I335">
        <v>-68.400000000000006</v>
      </c>
    </row>
    <row r="336" spans="1:9" x14ac:dyDescent="0.3">
      <c r="A336" t="s">
        <v>516</v>
      </c>
      <c r="B336" s="1">
        <v>45943</v>
      </c>
      <c r="C336" t="s">
        <v>28</v>
      </c>
      <c r="D336" t="s">
        <v>11</v>
      </c>
      <c r="E336" t="s">
        <v>12</v>
      </c>
      <c r="F336" t="s">
        <v>279</v>
      </c>
      <c r="G336">
        <v>3529.61</v>
      </c>
      <c r="H336">
        <v>3</v>
      </c>
      <c r="I336">
        <v>-63.05</v>
      </c>
    </row>
    <row r="337" spans="1:9" x14ac:dyDescent="0.3">
      <c r="A337" t="s">
        <v>517</v>
      </c>
      <c r="B337" s="1">
        <v>45293</v>
      </c>
      <c r="C337" t="s">
        <v>28</v>
      </c>
      <c r="D337" t="s">
        <v>21</v>
      </c>
      <c r="E337" t="s">
        <v>36</v>
      </c>
      <c r="F337" t="s">
        <v>157</v>
      </c>
      <c r="G337">
        <v>4750.9799999999996</v>
      </c>
      <c r="H337">
        <v>3</v>
      </c>
      <c r="I337">
        <v>1192.93</v>
      </c>
    </row>
    <row r="338" spans="1:9" x14ac:dyDescent="0.3">
      <c r="A338" t="s">
        <v>518</v>
      </c>
      <c r="B338" s="1">
        <v>45400</v>
      </c>
      <c r="C338" t="s">
        <v>17</v>
      </c>
      <c r="D338" t="s">
        <v>32</v>
      </c>
      <c r="E338" t="s">
        <v>73</v>
      </c>
      <c r="F338" t="s">
        <v>168</v>
      </c>
      <c r="G338">
        <v>3045.31</v>
      </c>
      <c r="H338">
        <v>9</v>
      </c>
      <c r="I338">
        <v>895.6</v>
      </c>
    </row>
    <row r="339" spans="1:9" x14ac:dyDescent="0.3">
      <c r="A339" t="s">
        <v>519</v>
      </c>
      <c r="B339" s="1">
        <v>46016</v>
      </c>
      <c r="C339" t="s">
        <v>25</v>
      </c>
      <c r="D339" t="s">
        <v>32</v>
      </c>
      <c r="E339" t="s">
        <v>33</v>
      </c>
      <c r="F339" t="s">
        <v>520</v>
      </c>
      <c r="G339">
        <v>447.62</v>
      </c>
      <c r="H339">
        <v>7</v>
      </c>
      <c r="I339">
        <v>-4.3099999999999996</v>
      </c>
    </row>
    <row r="340" spans="1:9" x14ac:dyDescent="0.3">
      <c r="A340" t="s">
        <v>521</v>
      </c>
      <c r="B340" s="1">
        <v>45517</v>
      </c>
      <c r="C340" t="s">
        <v>17</v>
      </c>
      <c r="D340" t="s">
        <v>32</v>
      </c>
      <c r="E340" t="s">
        <v>33</v>
      </c>
      <c r="F340" t="s">
        <v>173</v>
      </c>
      <c r="G340">
        <v>1596.43</v>
      </c>
      <c r="H340">
        <v>2</v>
      </c>
      <c r="I340">
        <v>345.5</v>
      </c>
    </row>
    <row r="341" spans="1:9" x14ac:dyDescent="0.3">
      <c r="A341" t="s">
        <v>522</v>
      </c>
      <c r="B341" s="1">
        <v>45753</v>
      </c>
      <c r="C341" t="s">
        <v>10</v>
      </c>
      <c r="D341" t="s">
        <v>11</v>
      </c>
      <c r="E341" t="s">
        <v>48</v>
      </c>
      <c r="F341" t="s">
        <v>523</v>
      </c>
      <c r="G341">
        <v>1698.6</v>
      </c>
      <c r="H341">
        <v>6</v>
      </c>
      <c r="I341">
        <v>0.65</v>
      </c>
    </row>
    <row r="342" spans="1:9" x14ac:dyDescent="0.3">
      <c r="A342" t="s">
        <v>524</v>
      </c>
      <c r="B342" s="1">
        <v>45947</v>
      </c>
      <c r="C342" t="s">
        <v>28</v>
      </c>
      <c r="D342" t="s">
        <v>11</v>
      </c>
      <c r="E342" t="s">
        <v>12</v>
      </c>
      <c r="F342" t="s">
        <v>349</v>
      </c>
      <c r="G342">
        <v>2884.51</v>
      </c>
      <c r="H342">
        <v>8</v>
      </c>
      <c r="I342">
        <v>807.34</v>
      </c>
    </row>
    <row r="343" spans="1:9" x14ac:dyDescent="0.3">
      <c r="A343" t="s">
        <v>525</v>
      </c>
      <c r="B343" s="1">
        <v>46019</v>
      </c>
      <c r="C343" t="s">
        <v>25</v>
      </c>
      <c r="D343" t="s">
        <v>32</v>
      </c>
      <c r="E343" t="s">
        <v>33</v>
      </c>
      <c r="F343" t="s">
        <v>526</v>
      </c>
      <c r="G343">
        <v>335.31</v>
      </c>
      <c r="H343">
        <v>1</v>
      </c>
      <c r="I343">
        <v>30.28</v>
      </c>
    </row>
    <row r="344" spans="1:9" x14ac:dyDescent="0.3">
      <c r="A344" t="s">
        <v>527</v>
      </c>
      <c r="B344" s="1">
        <v>45299</v>
      </c>
      <c r="C344" t="s">
        <v>28</v>
      </c>
      <c r="D344" t="s">
        <v>21</v>
      </c>
      <c r="E344" t="s">
        <v>36</v>
      </c>
      <c r="F344" t="s">
        <v>42</v>
      </c>
      <c r="G344">
        <v>3656.26</v>
      </c>
      <c r="H344">
        <v>9</v>
      </c>
      <c r="I344">
        <v>914.86</v>
      </c>
    </row>
    <row r="345" spans="1:9" x14ac:dyDescent="0.3">
      <c r="A345" t="s">
        <v>528</v>
      </c>
      <c r="B345" s="1">
        <v>45495</v>
      </c>
      <c r="C345" t="s">
        <v>17</v>
      </c>
      <c r="D345" t="s">
        <v>11</v>
      </c>
      <c r="E345" t="s">
        <v>12</v>
      </c>
      <c r="F345" t="s">
        <v>305</v>
      </c>
      <c r="G345">
        <v>2836.4</v>
      </c>
      <c r="H345">
        <v>7</v>
      </c>
      <c r="I345">
        <v>-139.13999999999999</v>
      </c>
    </row>
    <row r="346" spans="1:9" x14ac:dyDescent="0.3">
      <c r="A346" t="s">
        <v>529</v>
      </c>
      <c r="B346" s="1">
        <v>45999</v>
      </c>
      <c r="C346" t="s">
        <v>28</v>
      </c>
      <c r="D346" t="s">
        <v>21</v>
      </c>
      <c r="E346" t="s">
        <v>29</v>
      </c>
      <c r="F346" t="s">
        <v>270</v>
      </c>
      <c r="G346">
        <v>1628.61</v>
      </c>
      <c r="H346">
        <v>10</v>
      </c>
      <c r="I346">
        <v>471.34</v>
      </c>
    </row>
    <row r="347" spans="1:9" x14ac:dyDescent="0.3">
      <c r="A347" t="s">
        <v>530</v>
      </c>
      <c r="B347" s="1">
        <v>45331</v>
      </c>
      <c r="C347" t="s">
        <v>25</v>
      </c>
      <c r="D347" t="s">
        <v>21</v>
      </c>
      <c r="E347" t="s">
        <v>29</v>
      </c>
      <c r="F347" t="s">
        <v>279</v>
      </c>
      <c r="G347">
        <v>643.66</v>
      </c>
      <c r="H347">
        <v>7</v>
      </c>
      <c r="I347">
        <v>12.48</v>
      </c>
    </row>
    <row r="348" spans="1:9" x14ac:dyDescent="0.3">
      <c r="A348" t="s">
        <v>531</v>
      </c>
      <c r="B348" s="1">
        <v>45674</v>
      </c>
      <c r="C348" t="s">
        <v>25</v>
      </c>
      <c r="D348" t="s">
        <v>11</v>
      </c>
      <c r="E348" t="s">
        <v>48</v>
      </c>
      <c r="F348" t="s">
        <v>80</v>
      </c>
      <c r="G348">
        <v>440.68</v>
      </c>
      <c r="H348">
        <v>2</v>
      </c>
      <c r="I348">
        <v>-12.42</v>
      </c>
    </row>
    <row r="349" spans="1:9" x14ac:dyDescent="0.3">
      <c r="A349" t="s">
        <v>532</v>
      </c>
      <c r="B349" s="1">
        <v>45714</v>
      </c>
      <c r="C349" t="s">
        <v>28</v>
      </c>
      <c r="D349" t="s">
        <v>11</v>
      </c>
      <c r="E349" t="s">
        <v>12</v>
      </c>
      <c r="F349" t="s">
        <v>533</v>
      </c>
      <c r="G349">
        <v>3783.23</v>
      </c>
      <c r="H349">
        <v>1</v>
      </c>
      <c r="I349">
        <v>207.76</v>
      </c>
    </row>
    <row r="350" spans="1:9" x14ac:dyDescent="0.3">
      <c r="A350" t="s">
        <v>534</v>
      </c>
      <c r="B350" s="1">
        <v>45462</v>
      </c>
      <c r="C350" t="s">
        <v>28</v>
      </c>
      <c r="D350" t="s">
        <v>21</v>
      </c>
      <c r="E350" t="s">
        <v>22</v>
      </c>
      <c r="F350" t="s">
        <v>535</v>
      </c>
      <c r="G350">
        <v>3988.75</v>
      </c>
      <c r="H350">
        <v>4</v>
      </c>
      <c r="I350">
        <v>617.4</v>
      </c>
    </row>
    <row r="351" spans="1:9" x14ac:dyDescent="0.3">
      <c r="A351" t="s">
        <v>536</v>
      </c>
      <c r="B351" s="1">
        <v>45432</v>
      </c>
      <c r="C351" t="s">
        <v>28</v>
      </c>
      <c r="D351" t="s">
        <v>32</v>
      </c>
      <c r="E351" t="s">
        <v>73</v>
      </c>
      <c r="F351" t="s">
        <v>309</v>
      </c>
      <c r="G351">
        <v>447.65</v>
      </c>
      <c r="H351">
        <v>7</v>
      </c>
      <c r="I351">
        <v>122.93</v>
      </c>
    </row>
    <row r="352" spans="1:9" x14ac:dyDescent="0.3">
      <c r="A352" t="s">
        <v>537</v>
      </c>
      <c r="B352" s="1">
        <v>45647</v>
      </c>
      <c r="C352" t="s">
        <v>25</v>
      </c>
      <c r="D352" t="s">
        <v>32</v>
      </c>
      <c r="E352" t="s">
        <v>33</v>
      </c>
      <c r="F352" t="s">
        <v>117</v>
      </c>
      <c r="G352">
        <v>4939.09</v>
      </c>
      <c r="H352">
        <v>2</v>
      </c>
      <c r="I352">
        <v>728.5</v>
      </c>
    </row>
    <row r="353" spans="1:9" x14ac:dyDescent="0.3">
      <c r="A353" t="s">
        <v>538</v>
      </c>
      <c r="B353" s="1">
        <v>45363</v>
      </c>
      <c r="C353" t="s">
        <v>10</v>
      </c>
      <c r="D353" t="s">
        <v>21</v>
      </c>
      <c r="E353" t="s">
        <v>36</v>
      </c>
      <c r="F353" t="s">
        <v>19</v>
      </c>
      <c r="G353">
        <v>526.82000000000005</v>
      </c>
      <c r="H353">
        <v>8</v>
      </c>
      <c r="I353">
        <v>97.57</v>
      </c>
    </row>
    <row r="354" spans="1:9" x14ac:dyDescent="0.3">
      <c r="A354" t="s">
        <v>539</v>
      </c>
      <c r="B354" s="1">
        <v>45968</v>
      </c>
      <c r="C354" t="s">
        <v>10</v>
      </c>
      <c r="D354" t="s">
        <v>11</v>
      </c>
      <c r="E354" t="s">
        <v>18</v>
      </c>
      <c r="F354" t="s">
        <v>296</v>
      </c>
      <c r="G354">
        <v>2843.92</v>
      </c>
      <c r="H354">
        <v>5</v>
      </c>
      <c r="I354">
        <v>319.95999999999998</v>
      </c>
    </row>
    <row r="355" spans="1:9" x14ac:dyDescent="0.3">
      <c r="A355" t="s">
        <v>540</v>
      </c>
      <c r="B355" s="1">
        <v>45463</v>
      </c>
      <c r="C355" t="s">
        <v>28</v>
      </c>
      <c r="D355" t="s">
        <v>32</v>
      </c>
      <c r="E355" t="s">
        <v>33</v>
      </c>
      <c r="F355" t="s">
        <v>541</v>
      </c>
      <c r="G355">
        <v>4174.41</v>
      </c>
      <c r="H355">
        <v>9</v>
      </c>
      <c r="I355">
        <v>-250.57</v>
      </c>
    </row>
    <row r="356" spans="1:9" x14ac:dyDescent="0.3">
      <c r="A356" t="s">
        <v>542</v>
      </c>
      <c r="B356" s="1">
        <v>45452</v>
      </c>
      <c r="C356" t="s">
        <v>17</v>
      </c>
      <c r="D356" t="s">
        <v>11</v>
      </c>
      <c r="E356" t="s">
        <v>12</v>
      </c>
      <c r="F356" t="s">
        <v>357</v>
      </c>
      <c r="G356">
        <v>2014.4</v>
      </c>
      <c r="H356">
        <v>6</v>
      </c>
      <c r="I356">
        <v>345.6</v>
      </c>
    </row>
    <row r="357" spans="1:9" x14ac:dyDescent="0.3">
      <c r="A357" t="s">
        <v>543</v>
      </c>
      <c r="B357" s="1">
        <v>45616</v>
      </c>
      <c r="C357" t="s">
        <v>25</v>
      </c>
      <c r="D357" t="s">
        <v>32</v>
      </c>
      <c r="E357" t="s">
        <v>73</v>
      </c>
      <c r="F357" t="s">
        <v>473</v>
      </c>
      <c r="G357">
        <v>3925.73</v>
      </c>
      <c r="H357">
        <v>6</v>
      </c>
      <c r="I357">
        <v>847.19</v>
      </c>
    </row>
    <row r="358" spans="1:9" x14ac:dyDescent="0.3">
      <c r="A358" t="s">
        <v>544</v>
      </c>
      <c r="B358" s="1">
        <v>45478</v>
      </c>
      <c r="C358" t="s">
        <v>17</v>
      </c>
      <c r="D358" t="s">
        <v>21</v>
      </c>
      <c r="E358" t="s">
        <v>36</v>
      </c>
      <c r="F358" t="s">
        <v>545</v>
      </c>
      <c r="G358">
        <v>594.88</v>
      </c>
      <c r="H358">
        <v>10</v>
      </c>
      <c r="I358">
        <v>98.79</v>
      </c>
    </row>
    <row r="359" spans="1:9" x14ac:dyDescent="0.3">
      <c r="A359" t="s">
        <v>546</v>
      </c>
      <c r="B359" s="1">
        <v>45315</v>
      </c>
      <c r="C359" t="s">
        <v>10</v>
      </c>
      <c r="D359" t="s">
        <v>32</v>
      </c>
      <c r="E359" t="s">
        <v>33</v>
      </c>
      <c r="F359" t="s">
        <v>547</v>
      </c>
      <c r="G359">
        <v>728.75</v>
      </c>
      <c r="H359">
        <v>4</v>
      </c>
      <c r="I359">
        <v>-57.85</v>
      </c>
    </row>
    <row r="360" spans="1:9" x14ac:dyDescent="0.3">
      <c r="A360" t="s">
        <v>548</v>
      </c>
      <c r="B360" s="1">
        <v>45750</v>
      </c>
      <c r="C360" t="s">
        <v>17</v>
      </c>
      <c r="D360" t="s">
        <v>21</v>
      </c>
      <c r="E360" t="s">
        <v>29</v>
      </c>
      <c r="F360" t="s">
        <v>226</v>
      </c>
      <c r="G360">
        <v>204.02</v>
      </c>
      <c r="H360">
        <v>5</v>
      </c>
      <c r="I360">
        <v>-9.68</v>
      </c>
    </row>
    <row r="361" spans="1:9" x14ac:dyDescent="0.3">
      <c r="A361" t="s">
        <v>549</v>
      </c>
      <c r="B361" s="1">
        <v>45339</v>
      </c>
      <c r="C361" t="s">
        <v>10</v>
      </c>
      <c r="D361" t="s">
        <v>11</v>
      </c>
      <c r="E361" t="s">
        <v>18</v>
      </c>
      <c r="F361" t="s">
        <v>270</v>
      </c>
      <c r="G361">
        <v>2461.4699999999998</v>
      </c>
      <c r="H361">
        <v>7</v>
      </c>
      <c r="I361">
        <v>416.47</v>
      </c>
    </row>
    <row r="362" spans="1:9" x14ac:dyDescent="0.3">
      <c r="A362" t="s">
        <v>550</v>
      </c>
      <c r="B362" s="1">
        <v>45938</v>
      </c>
      <c r="C362" t="s">
        <v>10</v>
      </c>
      <c r="D362" t="s">
        <v>32</v>
      </c>
      <c r="E362" t="s">
        <v>73</v>
      </c>
      <c r="F362" t="s">
        <v>168</v>
      </c>
      <c r="G362">
        <v>3959.32</v>
      </c>
      <c r="H362">
        <v>2</v>
      </c>
      <c r="I362">
        <v>1071.8699999999999</v>
      </c>
    </row>
    <row r="363" spans="1:9" x14ac:dyDescent="0.3">
      <c r="A363" t="s">
        <v>551</v>
      </c>
      <c r="B363" s="1">
        <v>45383</v>
      </c>
      <c r="C363" t="s">
        <v>17</v>
      </c>
      <c r="D363" t="s">
        <v>32</v>
      </c>
      <c r="E363" t="s">
        <v>73</v>
      </c>
      <c r="F363" t="s">
        <v>552</v>
      </c>
      <c r="G363">
        <v>687.23</v>
      </c>
      <c r="H363">
        <v>5</v>
      </c>
      <c r="I363">
        <v>-57.19</v>
      </c>
    </row>
    <row r="364" spans="1:9" x14ac:dyDescent="0.3">
      <c r="A364" t="s">
        <v>553</v>
      </c>
      <c r="B364" s="1">
        <v>45611</v>
      </c>
      <c r="C364" t="s">
        <v>28</v>
      </c>
      <c r="D364" t="s">
        <v>11</v>
      </c>
      <c r="E364" t="s">
        <v>18</v>
      </c>
      <c r="F364" t="s">
        <v>113</v>
      </c>
      <c r="G364">
        <v>1171.45</v>
      </c>
      <c r="H364">
        <v>8</v>
      </c>
      <c r="I364">
        <v>166.73</v>
      </c>
    </row>
    <row r="365" spans="1:9" x14ac:dyDescent="0.3">
      <c r="A365" t="s">
        <v>554</v>
      </c>
      <c r="B365" s="1">
        <v>45790</v>
      </c>
      <c r="C365" t="s">
        <v>28</v>
      </c>
      <c r="D365" t="s">
        <v>32</v>
      </c>
      <c r="E365" t="s">
        <v>39</v>
      </c>
      <c r="F365" t="s">
        <v>211</v>
      </c>
      <c r="G365">
        <v>1833.73</v>
      </c>
      <c r="H365">
        <v>6</v>
      </c>
      <c r="I365">
        <v>-58.73</v>
      </c>
    </row>
    <row r="366" spans="1:9" x14ac:dyDescent="0.3">
      <c r="A366" t="s">
        <v>555</v>
      </c>
      <c r="B366" s="1">
        <v>45918</v>
      </c>
      <c r="C366" t="s">
        <v>28</v>
      </c>
      <c r="D366" t="s">
        <v>11</v>
      </c>
      <c r="E366" t="s">
        <v>48</v>
      </c>
      <c r="F366" t="s">
        <v>556</v>
      </c>
      <c r="G366">
        <v>1342.38</v>
      </c>
      <c r="H366">
        <v>3</v>
      </c>
      <c r="I366">
        <v>180.28</v>
      </c>
    </row>
    <row r="367" spans="1:9" x14ac:dyDescent="0.3">
      <c r="A367" t="s">
        <v>557</v>
      </c>
      <c r="B367" s="1">
        <v>45366</v>
      </c>
      <c r="C367" t="s">
        <v>17</v>
      </c>
      <c r="D367" t="s">
        <v>21</v>
      </c>
      <c r="E367" t="s">
        <v>36</v>
      </c>
      <c r="F367" t="s">
        <v>237</v>
      </c>
      <c r="G367">
        <v>288.83999999999997</v>
      </c>
      <c r="H367">
        <v>9</v>
      </c>
      <c r="I367">
        <v>-22.98</v>
      </c>
    </row>
    <row r="368" spans="1:9" x14ac:dyDescent="0.3">
      <c r="A368" t="s">
        <v>558</v>
      </c>
      <c r="B368" s="1">
        <v>45575</v>
      </c>
      <c r="C368" t="s">
        <v>28</v>
      </c>
      <c r="D368" t="s">
        <v>32</v>
      </c>
      <c r="E368" t="s">
        <v>39</v>
      </c>
      <c r="F368" t="s">
        <v>182</v>
      </c>
      <c r="G368">
        <v>2179.86</v>
      </c>
      <c r="H368">
        <v>10</v>
      </c>
      <c r="I368">
        <v>590.05999999999995</v>
      </c>
    </row>
    <row r="369" spans="1:9" x14ac:dyDescent="0.3">
      <c r="A369" t="s">
        <v>559</v>
      </c>
      <c r="B369" s="1">
        <v>45541</v>
      </c>
      <c r="C369" t="s">
        <v>25</v>
      </c>
      <c r="D369" t="s">
        <v>21</v>
      </c>
      <c r="E369" t="s">
        <v>22</v>
      </c>
      <c r="F369" t="s">
        <v>171</v>
      </c>
      <c r="G369">
        <v>3904.17</v>
      </c>
      <c r="H369">
        <v>8</v>
      </c>
      <c r="I369">
        <v>-275.20999999999998</v>
      </c>
    </row>
    <row r="370" spans="1:9" x14ac:dyDescent="0.3">
      <c r="A370" t="s">
        <v>560</v>
      </c>
      <c r="B370" s="1">
        <v>45636</v>
      </c>
      <c r="C370" t="s">
        <v>17</v>
      </c>
      <c r="D370" t="s">
        <v>11</v>
      </c>
      <c r="E370" t="s">
        <v>18</v>
      </c>
      <c r="F370" t="s">
        <v>105</v>
      </c>
      <c r="G370">
        <v>631.17999999999995</v>
      </c>
      <c r="H370">
        <v>9</v>
      </c>
      <c r="I370">
        <v>63.4</v>
      </c>
    </row>
    <row r="371" spans="1:9" x14ac:dyDescent="0.3">
      <c r="A371" t="s">
        <v>561</v>
      </c>
      <c r="B371" s="1">
        <v>45416</v>
      </c>
      <c r="C371" t="s">
        <v>17</v>
      </c>
      <c r="D371" t="s">
        <v>21</v>
      </c>
      <c r="E371" t="s">
        <v>29</v>
      </c>
      <c r="F371" t="s">
        <v>562</v>
      </c>
      <c r="G371">
        <v>4845.6099999999997</v>
      </c>
      <c r="H371">
        <v>3</v>
      </c>
      <c r="I371">
        <v>-381.26</v>
      </c>
    </row>
    <row r="372" spans="1:9" x14ac:dyDescent="0.3">
      <c r="A372" t="s">
        <v>563</v>
      </c>
      <c r="B372" s="1">
        <v>45848</v>
      </c>
      <c r="C372" t="s">
        <v>17</v>
      </c>
      <c r="D372" t="s">
        <v>32</v>
      </c>
      <c r="E372" t="s">
        <v>73</v>
      </c>
      <c r="F372" t="s">
        <v>298</v>
      </c>
      <c r="G372">
        <v>64.69</v>
      </c>
      <c r="H372">
        <v>6</v>
      </c>
      <c r="I372">
        <v>17.93</v>
      </c>
    </row>
    <row r="373" spans="1:9" x14ac:dyDescent="0.3">
      <c r="A373" t="s">
        <v>564</v>
      </c>
      <c r="B373" s="1">
        <v>45297</v>
      </c>
      <c r="C373" t="s">
        <v>17</v>
      </c>
      <c r="D373" t="s">
        <v>21</v>
      </c>
      <c r="E373" t="s">
        <v>22</v>
      </c>
      <c r="F373" t="s">
        <v>545</v>
      </c>
      <c r="G373">
        <v>853.93</v>
      </c>
      <c r="H373">
        <v>9</v>
      </c>
      <c r="I373">
        <v>-25.34</v>
      </c>
    </row>
    <row r="374" spans="1:9" x14ac:dyDescent="0.3">
      <c r="A374" t="s">
        <v>565</v>
      </c>
      <c r="B374" s="1">
        <v>45373</v>
      </c>
      <c r="C374" t="s">
        <v>28</v>
      </c>
      <c r="D374" t="s">
        <v>11</v>
      </c>
      <c r="E374" t="s">
        <v>48</v>
      </c>
      <c r="F374" t="s">
        <v>406</v>
      </c>
      <c r="G374">
        <v>4725.49</v>
      </c>
      <c r="H374">
        <v>9</v>
      </c>
      <c r="I374">
        <v>1085.8399999999999</v>
      </c>
    </row>
    <row r="375" spans="1:9" x14ac:dyDescent="0.3">
      <c r="A375" t="s">
        <v>566</v>
      </c>
      <c r="B375" s="1">
        <v>45907</v>
      </c>
      <c r="C375" t="s">
        <v>28</v>
      </c>
      <c r="D375" t="s">
        <v>32</v>
      </c>
      <c r="E375" t="s">
        <v>39</v>
      </c>
      <c r="F375" t="s">
        <v>567</v>
      </c>
      <c r="G375">
        <v>4809.2299999999996</v>
      </c>
      <c r="H375">
        <v>8</v>
      </c>
      <c r="I375">
        <v>1292.5999999999999</v>
      </c>
    </row>
    <row r="376" spans="1:9" x14ac:dyDescent="0.3">
      <c r="A376" t="s">
        <v>568</v>
      </c>
      <c r="B376" s="1">
        <v>45844</v>
      </c>
      <c r="C376" t="s">
        <v>25</v>
      </c>
      <c r="D376" t="s">
        <v>21</v>
      </c>
      <c r="E376" t="s">
        <v>29</v>
      </c>
      <c r="F376" t="s">
        <v>569</v>
      </c>
      <c r="G376">
        <v>1047.19</v>
      </c>
      <c r="H376">
        <v>1</v>
      </c>
      <c r="I376">
        <v>-72.03</v>
      </c>
    </row>
    <row r="377" spans="1:9" x14ac:dyDescent="0.3">
      <c r="A377" t="s">
        <v>570</v>
      </c>
      <c r="B377" s="1">
        <v>45309</v>
      </c>
      <c r="C377" t="s">
        <v>25</v>
      </c>
      <c r="D377" t="s">
        <v>32</v>
      </c>
      <c r="E377" t="s">
        <v>33</v>
      </c>
      <c r="F377" t="s">
        <v>195</v>
      </c>
      <c r="G377">
        <v>1309.9000000000001</v>
      </c>
      <c r="H377">
        <v>6</v>
      </c>
      <c r="I377">
        <v>-53.85</v>
      </c>
    </row>
    <row r="378" spans="1:9" x14ac:dyDescent="0.3">
      <c r="A378" t="s">
        <v>571</v>
      </c>
      <c r="B378" s="1">
        <v>45919</v>
      </c>
      <c r="C378" t="s">
        <v>25</v>
      </c>
      <c r="D378" t="s">
        <v>32</v>
      </c>
      <c r="E378" t="s">
        <v>39</v>
      </c>
      <c r="F378" t="s">
        <v>90</v>
      </c>
      <c r="G378">
        <v>3372.11</v>
      </c>
      <c r="H378">
        <v>1</v>
      </c>
      <c r="I378">
        <v>293.58999999999997</v>
      </c>
    </row>
    <row r="379" spans="1:9" x14ac:dyDescent="0.3">
      <c r="A379" t="s">
        <v>572</v>
      </c>
      <c r="B379" s="1">
        <v>45712</v>
      </c>
      <c r="C379" t="s">
        <v>28</v>
      </c>
      <c r="D379" t="s">
        <v>11</v>
      </c>
      <c r="E379" t="s">
        <v>18</v>
      </c>
      <c r="F379" t="s">
        <v>182</v>
      </c>
      <c r="G379">
        <v>2194.98</v>
      </c>
      <c r="H379">
        <v>8</v>
      </c>
      <c r="I379">
        <v>-145.66</v>
      </c>
    </row>
    <row r="380" spans="1:9" x14ac:dyDescent="0.3">
      <c r="A380" t="s">
        <v>573</v>
      </c>
      <c r="B380" s="1">
        <v>45316</v>
      </c>
      <c r="C380" t="s">
        <v>17</v>
      </c>
      <c r="D380" t="s">
        <v>21</v>
      </c>
      <c r="E380" t="s">
        <v>29</v>
      </c>
      <c r="F380" t="s">
        <v>541</v>
      </c>
      <c r="G380">
        <v>3191.21</v>
      </c>
      <c r="H380">
        <v>5</v>
      </c>
      <c r="I380">
        <v>385.02</v>
      </c>
    </row>
    <row r="381" spans="1:9" x14ac:dyDescent="0.3">
      <c r="A381" t="s">
        <v>574</v>
      </c>
      <c r="B381" s="1">
        <v>45296</v>
      </c>
      <c r="C381" t="s">
        <v>10</v>
      </c>
      <c r="D381" t="s">
        <v>21</v>
      </c>
      <c r="E381" t="s">
        <v>29</v>
      </c>
      <c r="F381" t="s">
        <v>535</v>
      </c>
      <c r="G381">
        <v>352.36</v>
      </c>
      <c r="H381">
        <v>6</v>
      </c>
      <c r="I381">
        <v>65.599999999999994</v>
      </c>
    </row>
    <row r="382" spans="1:9" x14ac:dyDescent="0.3">
      <c r="A382" t="s">
        <v>575</v>
      </c>
      <c r="B382" s="1">
        <v>45709</v>
      </c>
      <c r="C382" t="s">
        <v>25</v>
      </c>
      <c r="D382" t="s">
        <v>21</v>
      </c>
      <c r="E382" t="s">
        <v>36</v>
      </c>
      <c r="F382" t="s">
        <v>576</v>
      </c>
      <c r="G382">
        <v>986.96</v>
      </c>
      <c r="H382">
        <v>8</v>
      </c>
      <c r="I382">
        <v>-61.33</v>
      </c>
    </row>
    <row r="383" spans="1:9" x14ac:dyDescent="0.3">
      <c r="A383" t="s">
        <v>577</v>
      </c>
      <c r="B383" s="1">
        <v>45717</v>
      </c>
      <c r="C383" t="s">
        <v>28</v>
      </c>
      <c r="D383" t="s">
        <v>11</v>
      </c>
      <c r="E383" t="s">
        <v>48</v>
      </c>
      <c r="F383" t="s">
        <v>578</v>
      </c>
      <c r="G383">
        <v>3788.86</v>
      </c>
      <c r="H383">
        <v>6</v>
      </c>
      <c r="I383">
        <v>1089.27</v>
      </c>
    </row>
    <row r="384" spans="1:9" x14ac:dyDescent="0.3">
      <c r="A384" t="s">
        <v>579</v>
      </c>
      <c r="B384" s="1">
        <v>45600</v>
      </c>
      <c r="C384" t="s">
        <v>25</v>
      </c>
      <c r="D384" t="s">
        <v>32</v>
      </c>
      <c r="E384" t="s">
        <v>73</v>
      </c>
      <c r="F384" t="s">
        <v>146</v>
      </c>
      <c r="G384">
        <v>1329.64</v>
      </c>
      <c r="H384">
        <v>6</v>
      </c>
      <c r="I384">
        <v>173.41</v>
      </c>
    </row>
    <row r="385" spans="1:9" x14ac:dyDescent="0.3">
      <c r="A385" t="s">
        <v>580</v>
      </c>
      <c r="B385" s="1">
        <v>45517</v>
      </c>
      <c r="C385" t="s">
        <v>10</v>
      </c>
      <c r="D385" t="s">
        <v>11</v>
      </c>
      <c r="E385" t="s">
        <v>18</v>
      </c>
      <c r="F385" t="s">
        <v>192</v>
      </c>
      <c r="G385">
        <v>3244.87</v>
      </c>
      <c r="H385">
        <v>8</v>
      </c>
      <c r="I385">
        <v>698.82</v>
      </c>
    </row>
    <row r="386" spans="1:9" x14ac:dyDescent="0.3">
      <c r="A386" t="s">
        <v>581</v>
      </c>
      <c r="B386" s="1">
        <v>45344</v>
      </c>
      <c r="C386" t="s">
        <v>28</v>
      </c>
      <c r="D386" t="s">
        <v>21</v>
      </c>
      <c r="E386" t="s">
        <v>36</v>
      </c>
      <c r="F386" t="s">
        <v>166</v>
      </c>
      <c r="G386">
        <v>2423.39</v>
      </c>
      <c r="H386">
        <v>3</v>
      </c>
      <c r="I386">
        <v>281.7</v>
      </c>
    </row>
    <row r="387" spans="1:9" x14ac:dyDescent="0.3">
      <c r="A387" t="s">
        <v>582</v>
      </c>
      <c r="B387" s="1">
        <v>45404</v>
      </c>
      <c r="C387" t="s">
        <v>28</v>
      </c>
      <c r="D387" t="s">
        <v>21</v>
      </c>
      <c r="E387" t="s">
        <v>36</v>
      </c>
      <c r="F387" t="s">
        <v>362</v>
      </c>
      <c r="G387">
        <v>3467.57</v>
      </c>
      <c r="H387">
        <v>8</v>
      </c>
      <c r="I387">
        <v>366.63</v>
      </c>
    </row>
    <row r="388" spans="1:9" x14ac:dyDescent="0.3">
      <c r="A388" t="s">
        <v>583</v>
      </c>
      <c r="B388" s="1">
        <v>45904</v>
      </c>
      <c r="C388" t="s">
        <v>17</v>
      </c>
      <c r="D388" t="s">
        <v>21</v>
      </c>
      <c r="E388" t="s">
        <v>36</v>
      </c>
      <c r="F388" t="s">
        <v>26</v>
      </c>
      <c r="G388">
        <v>3510.82</v>
      </c>
      <c r="H388">
        <v>5</v>
      </c>
      <c r="I388">
        <v>540.08000000000004</v>
      </c>
    </row>
    <row r="389" spans="1:9" x14ac:dyDescent="0.3">
      <c r="A389" t="s">
        <v>584</v>
      </c>
      <c r="B389" s="1">
        <v>45359</v>
      </c>
      <c r="C389" t="s">
        <v>17</v>
      </c>
      <c r="D389" t="s">
        <v>21</v>
      </c>
      <c r="E389" t="s">
        <v>29</v>
      </c>
      <c r="F389" t="s">
        <v>232</v>
      </c>
      <c r="G389">
        <v>2965.42</v>
      </c>
      <c r="H389">
        <v>9</v>
      </c>
      <c r="I389">
        <v>670.9</v>
      </c>
    </row>
    <row r="390" spans="1:9" x14ac:dyDescent="0.3">
      <c r="A390" t="s">
        <v>585</v>
      </c>
      <c r="B390" s="1">
        <v>45829</v>
      </c>
      <c r="C390" t="s">
        <v>25</v>
      </c>
      <c r="D390" t="s">
        <v>32</v>
      </c>
      <c r="E390" t="s">
        <v>39</v>
      </c>
      <c r="F390" t="s">
        <v>123</v>
      </c>
      <c r="G390">
        <v>2754.94</v>
      </c>
      <c r="H390">
        <v>8</v>
      </c>
      <c r="I390">
        <v>239.01</v>
      </c>
    </row>
    <row r="391" spans="1:9" x14ac:dyDescent="0.3">
      <c r="A391" t="s">
        <v>586</v>
      </c>
      <c r="B391" s="1">
        <v>45772</v>
      </c>
      <c r="C391" t="s">
        <v>28</v>
      </c>
      <c r="D391" t="s">
        <v>21</v>
      </c>
      <c r="E391" t="s">
        <v>29</v>
      </c>
      <c r="F391" t="s">
        <v>587</v>
      </c>
      <c r="G391">
        <v>287.11</v>
      </c>
      <c r="H391">
        <v>5</v>
      </c>
      <c r="I391">
        <v>42.88</v>
      </c>
    </row>
    <row r="392" spans="1:9" x14ac:dyDescent="0.3">
      <c r="A392" t="s">
        <v>588</v>
      </c>
      <c r="B392" s="1">
        <v>45482</v>
      </c>
      <c r="C392" t="s">
        <v>17</v>
      </c>
      <c r="D392" t="s">
        <v>21</v>
      </c>
      <c r="E392" t="s">
        <v>22</v>
      </c>
      <c r="F392" t="s">
        <v>497</v>
      </c>
      <c r="G392">
        <v>4981.95</v>
      </c>
      <c r="H392">
        <v>1</v>
      </c>
      <c r="I392">
        <v>1218.06</v>
      </c>
    </row>
    <row r="393" spans="1:9" x14ac:dyDescent="0.3">
      <c r="A393" t="s">
        <v>589</v>
      </c>
      <c r="B393" s="1">
        <v>45630</v>
      </c>
      <c r="C393" t="s">
        <v>25</v>
      </c>
      <c r="D393" t="s">
        <v>11</v>
      </c>
      <c r="E393" t="s">
        <v>48</v>
      </c>
      <c r="F393" t="s">
        <v>61</v>
      </c>
      <c r="G393">
        <v>2666.1</v>
      </c>
      <c r="H393">
        <v>10</v>
      </c>
      <c r="I393">
        <v>624.49</v>
      </c>
    </row>
    <row r="394" spans="1:9" x14ac:dyDescent="0.3">
      <c r="A394" t="s">
        <v>590</v>
      </c>
      <c r="B394" s="1">
        <v>45379</v>
      </c>
      <c r="C394" t="s">
        <v>25</v>
      </c>
      <c r="D394" t="s">
        <v>32</v>
      </c>
      <c r="E394" t="s">
        <v>33</v>
      </c>
      <c r="F394" t="s">
        <v>190</v>
      </c>
      <c r="G394">
        <v>1140.95</v>
      </c>
      <c r="H394">
        <v>8</v>
      </c>
      <c r="I394">
        <v>160.03</v>
      </c>
    </row>
    <row r="395" spans="1:9" x14ac:dyDescent="0.3">
      <c r="A395" t="s">
        <v>591</v>
      </c>
      <c r="B395" s="1">
        <v>45781</v>
      </c>
      <c r="C395" t="s">
        <v>28</v>
      </c>
      <c r="D395" t="s">
        <v>32</v>
      </c>
      <c r="E395" t="s">
        <v>73</v>
      </c>
      <c r="F395" t="s">
        <v>298</v>
      </c>
      <c r="G395">
        <v>3345.5</v>
      </c>
      <c r="H395">
        <v>8</v>
      </c>
      <c r="I395">
        <v>945.96</v>
      </c>
    </row>
    <row r="396" spans="1:9" x14ac:dyDescent="0.3">
      <c r="A396" t="s">
        <v>592</v>
      </c>
      <c r="B396" s="1">
        <v>45365</v>
      </c>
      <c r="C396" t="s">
        <v>17</v>
      </c>
      <c r="D396" t="s">
        <v>32</v>
      </c>
      <c r="E396" t="s">
        <v>39</v>
      </c>
      <c r="F396" t="s">
        <v>217</v>
      </c>
      <c r="G396">
        <v>1010.54</v>
      </c>
      <c r="H396">
        <v>1</v>
      </c>
      <c r="I396">
        <v>242.55</v>
      </c>
    </row>
    <row r="397" spans="1:9" x14ac:dyDescent="0.3">
      <c r="A397" t="s">
        <v>593</v>
      </c>
      <c r="B397" s="1">
        <v>45950</v>
      </c>
      <c r="C397" t="s">
        <v>25</v>
      </c>
      <c r="D397" t="s">
        <v>32</v>
      </c>
      <c r="E397" t="s">
        <v>39</v>
      </c>
      <c r="F397" t="s">
        <v>76</v>
      </c>
      <c r="G397">
        <v>1818.92</v>
      </c>
      <c r="H397">
        <v>2</v>
      </c>
      <c r="I397">
        <v>55.77</v>
      </c>
    </row>
    <row r="398" spans="1:9" x14ac:dyDescent="0.3">
      <c r="A398" t="s">
        <v>594</v>
      </c>
      <c r="B398" s="1">
        <v>45877</v>
      </c>
      <c r="C398" t="s">
        <v>17</v>
      </c>
      <c r="D398" t="s">
        <v>11</v>
      </c>
      <c r="E398" t="s">
        <v>48</v>
      </c>
      <c r="F398" t="s">
        <v>37</v>
      </c>
      <c r="G398">
        <v>1081.8399999999999</v>
      </c>
      <c r="H398">
        <v>3</v>
      </c>
      <c r="I398">
        <v>-104.82</v>
      </c>
    </row>
    <row r="399" spans="1:9" x14ac:dyDescent="0.3">
      <c r="A399" t="s">
        <v>595</v>
      </c>
      <c r="B399" s="1">
        <v>46013</v>
      </c>
      <c r="C399" t="s">
        <v>17</v>
      </c>
      <c r="D399" t="s">
        <v>11</v>
      </c>
      <c r="E399" t="s">
        <v>48</v>
      </c>
      <c r="F399" t="s">
        <v>207</v>
      </c>
      <c r="G399">
        <v>3933.6</v>
      </c>
      <c r="H399">
        <v>2</v>
      </c>
      <c r="I399">
        <v>184.76</v>
      </c>
    </row>
    <row r="400" spans="1:9" x14ac:dyDescent="0.3">
      <c r="A400" t="s">
        <v>596</v>
      </c>
      <c r="B400" s="1">
        <v>45691</v>
      </c>
      <c r="C400" t="s">
        <v>28</v>
      </c>
      <c r="D400" t="s">
        <v>32</v>
      </c>
      <c r="E400" t="s">
        <v>33</v>
      </c>
      <c r="F400" t="s">
        <v>440</v>
      </c>
      <c r="G400">
        <v>539.41</v>
      </c>
      <c r="H400">
        <v>8</v>
      </c>
      <c r="I400">
        <v>51.28</v>
      </c>
    </row>
    <row r="401" spans="1:9" x14ac:dyDescent="0.3">
      <c r="A401" t="s">
        <v>597</v>
      </c>
      <c r="B401" s="1">
        <v>45866</v>
      </c>
      <c r="C401" t="s">
        <v>17</v>
      </c>
      <c r="D401" t="s">
        <v>32</v>
      </c>
      <c r="E401" t="s">
        <v>33</v>
      </c>
      <c r="F401" t="s">
        <v>248</v>
      </c>
      <c r="G401">
        <v>622.74</v>
      </c>
      <c r="H401">
        <v>1</v>
      </c>
      <c r="I401">
        <v>109.27</v>
      </c>
    </row>
    <row r="402" spans="1:9" x14ac:dyDescent="0.3">
      <c r="A402" t="s">
        <v>598</v>
      </c>
      <c r="B402" s="1">
        <v>45733</v>
      </c>
      <c r="C402" t="s">
        <v>25</v>
      </c>
      <c r="D402" t="s">
        <v>11</v>
      </c>
      <c r="E402" t="s">
        <v>18</v>
      </c>
      <c r="F402" t="s">
        <v>113</v>
      </c>
      <c r="G402">
        <v>326.33</v>
      </c>
      <c r="H402">
        <v>5</v>
      </c>
      <c r="I402">
        <v>31</v>
      </c>
    </row>
    <row r="403" spans="1:9" x14ac:dyDescent="0.3">
      <c r="A403" t="s">
        <v>599</v>
      </c>
      <c r="B403" s="1">
        <v>45624</v>
      </c>
      <c r="C403" t="s">
        <v>25</v>
      </c>
      <c r="D403" t="s">
        <v>11</v>
      </c>
      <c r="E403" t="s">
        <v>48</v>
      </c>
      <c r="F403" t="s">
        <v>323</v>
      </c>
      <c r="G403">
        <v>2140.5500000000002</v>
      </c>
      <c r="H403">
        <v>5</v>
      </c>
      <c r="I403">
        <v>309.67</v>
      </c>
    </row>
    <row r="404" spans="1:9" x14ac:dyDescent="0.3">
      <c r="A404" t="s">
        <v>600</v>
      </c>
      <c r="B404" s="1">
        <v>45958</v>
      </c>
      <c r="C404" t="s">
        <v>25</v>
      </c>
      <c r="D404" t="s">
        <v>21</v>
      </c>
      <c r="E404" t="s">
        <v>36</v>
      </c>
      <c r="F404" t="s">
        <v>30</v>
      </c>
      <c r="G404">
        <v>3082.58</v>
      </c>
      <c r="H404">
        <v>4</v>
      </c>
      <c r="I404">
        <v>479.21</v>
      </c>
    </row>
    <row r="405" spans="1:9" x14ac:dyDescent="0.3">
      <c r="A405" t="s">
        <v>601</v>
      </c>
      <c r="B405" s="1">
        <v>45797</v>
      </c>
      <c r="C405" t="s">
        <v>17</v>
      </c>
      <c r="D405" t="s">
        <v>32</v>
      </c>
      <c r="E405" t="s">
        <v>33</v>
      </c>
      <c r="F405" t="s">
        <v>602</v>
      </c>
      <c r="G405">
        <v>62.02</v>
      </c>
      <c r="H405">
        <v>1</v>
      </c>
      <c r="I405">
        <v>3.46</v>
      </c>
    </row>
    <row r="406" spans="1:9" x14ac:dyDescent="0.3">
      <c r="A406" t="s">
        <v>603</v>
      </c>
      <c r="B406" s="1">
        <v>45332</v>
      </c>
      <c r="C406" t="s">
        <v>28</v>
      </c>
      <c r="D406" t="s">
        <v>32</v>
      </c>
      <c r="E406" t="s">
        <v>33</v>
      </c>
      <c r="F406" t="s">
        <v>459</v>
      </c>
      <c r="G406">
        <v>3854.88</v>
      </c>
      <c r="H406">
        <v>2</v>
      </c>
      <c r="I406">
        <v>107.98</v>
      </c>
    </row>
    <row r="407" spans="1:9" x14ac:dyDescent="0.3">
      <c r="A407" t="s">
        <v>604</v>
      </c>
      <c r="B407" s="1">
        <v>45824</v>
      </c>
      <c r="C407" t="s">
        <v>17</v>
      </c>
      <c r="D407" t="s">
        <v>32</v>
      </c>
      <c r="E407" t="s">
        <v>73</v>
      </c>
      <c r="F407" t="s">
        <v>160</v>
      </c>
      <c r="G407">
        <v>3545.5</v>
      </c>
      <c r="H407">
        <v>9</v>
      </c>
      <c r="I407">
        <v>784.71</v>
      </c>
    </row>
    <row r="408" spans="1:9" x14ac:dyDescent="0.3">
      <c r="A408" t="s">
        <v>605</v>
      </c>
      <c r="B408" s="1">
        <v>45913</v>
      </c>
      <c r="C408" t="s">
        <v>10</v>
      </c>
      <c r="D408" t="s">
        <v>11</v>
      </c>
      <c r="E408" t="s">
        <v>12</v>
      </c>
      <c r="F408" t="s">
        <v>131</v>
      </c>
      <c r="G408">
        <v>4000.11</v>
      </c>
      <c r="H408">
        <v>2</v>
      </c>
      <c r="I408">
        <v>1063.28</v>
      </c>
    </row>
    <row r="409" spans="1:9" x14ac:dyDescent="0.3">
      <c r="A409" t="s">
        <v>606</v>
      </c>
      <c r="B409" s="1">
        <v>45690</v>
      </c>
      <c r="C409" t="s">
        <v>25</v>
      </c>
      <c r="D409" t="s">
        <v>21</v>
      </c>
      <c r="E409" t="s">
        <v>22</v>
      </c>
      <c r="F409" t="s">
        <v>125</v>
      </c>
      <c r="G409">
        <v>2275.4</v>
      </c>
      <c r="H409">
        <v>2</v>
      </c>
      <c r="I409">
        <v>105.69</v>
      </c>
    </row>
    <row r="410" spans="1:9" x14ac:dyDescent="0.3">
      <c r="A410" t="s">
        <v>607</v>
      </c>
      <c r="B410" s="1">
        <v>45479</v>
      </c>
      <c r="C410" t="s">
        <v>28</v>
      </c>
      <c r="D410" t="s">
        <v>32</v>
      </c>
      <c r="E410" t="s">
        <v>33</v>
      </c>
      <c r="F410" t="s">
        <v>450</v>
      </c>
      <c r="G410">
        <v>1233.71</v>
      </c>
      <c r="H410">
        <v>5</v>
      </c>
      <c r="I410">
        <v>43.46</v>
      </c>
    </row>
    <row r="411" spans="1:9" x14ac:dyDescent="0.3">
      <c r="A411" t="s">
        <v>608</v>
      </c>
      <c r="B411" s="1">
        <v>45333</v>
      </c>
      <c r="C411" t="s">
        <v>17</v>
      </c>
      <c r="D411" t="s">
        <v>11</v>
      </c>
      <c r="E411" t="s">
        <v>18</v>
      </c>
      <c r="F411" t="s">
        <v>602</v>
      </c>
      <c r="G411">
        <v>224.5</v>
      </c>
      <c r="H411">
        <v>9</v>
      </c>
      <c r="I411">
        <v>66.900000000000006</v>
      </c>
    </row>
    <row r="412" spans="1:9" x14ac:dyDescent="0.3">
      <c r="A412" t="s">
        <v>609</v>
      </c>
      <c r="B412" s="1">
        <v>45560</v>
      </c>
      <c r="C412" t="s">
        <v>25</v>
      </c>
      <c r="D412" t="s">
        <v>32</v>
      </c>
      <c r="E412" t="s">
        <v>39</v>
      </c>
      <c r="F412" t="s">
        <v>51</v>
      </c>
      <c r="G412">
        <v>1900.14</v>
      </c>
      <c r="H412">
        <v>4</v>
      </c>
      <c r="I412">
        <v>491.51</v>
      </c>
    </row>
    <row r="413" spans="1:9" x14ac:dyDescent="0.3">
      <c r="A413" t="s">
        <v>610</v>
      </c>
      <c r="B413" s="1">
        <v>45756</v>
      </c>
      <c r="C413" t="s">
        <v>10</v>
      </c>
      <c r="D413" t="s">
        <v>32</v>
      </c>
      <c r="E413" t="s">
        <v>33</v>
      </c>
      <c r="F413" t="s">
        <v>80</v>
      </c>
      <c r="G413">
        <v>1849.9</v>
      </c>
      <c r="H413">
        <v>2</v>
      </c>
      <c r="I413">
        <v>0.69</v>
      </c>
    </row>
    <row r="414" spans="1:9" x14ac:dyDescent="0.3">
      <c r="A414" t="s">
        <v>611</v>
      </c>
      <c r="B414" s="1">
        <v>45692</v>
      </c>
      <c r="C414" t="s">
        <v>25</v>
      </c>
      <c r="D414" t="s">
        <v>32</v>
      </c>
      <c r="E414" t="s">
        <v>39</v>
      </c>
      <c r="F414" t="s">
        <v>133</v>
      </c>
      <c r="G414">
        <v>1133.77</v>
      </c>
      <c r="H414">
        <v>1</v>
      </c>
      <c r="I414">
        <v>202.25</v>
      </c>
    </row>
    <row r="415" spans="1:9" x14ac:dyDescent="0.3">
      <c r="A415" t="s">
        <v>612</v>
      </c>
      <c r="B415" s="1">
        <v>45891</v>
      </c>
      <c r="C415" t="s">
        <v>28</v>
      </c>
      <c r="D415" t="s">
        <v>11</v>
      </c>
      <c r="E415" t="s">
        <v>48</v>
      </c>
      <c r="F415" t="s">
        <v>154</v>
      </c>
      <c r="G415">
        <v>1119.57</v>
      </c>
      <c r="H415">
        <v>5</v>
      </c>
      <c r="I415">
        <v>90.28</v>
      </c>
    </row>
    <row r="416" spans="1:9" x14ac:dyDescent="0.3">
      <c r="A416" t="s">
        <v>613</v>
      </c>
      <c r="B416" s="1">
        <v>45375</v>
      </c>
      <c r="C416" t="s">
        <v>28</v>
      </c>
      <c r="D416" t="s">
        <v>21</v>
      </c>
      <c r="E416" t="s">
        <v>22</v>
      </c>
      <c r="F416" t="s">
        <v>547</v>
      </c>
      <c r="G416">
        <v>2994.19</v>
      </c>
      <c r="H416">
        <v>7</v>
      </c>
      <c r="I416">
        <v>338.15</v>
      </c>
    </row>
    <row r="417" spans="1:9" x14ac:dyDescent="0.3">
      <c r="A417" t="s">
        <v>614</v>
      </c>
      <c r="B417" s="1">
        <v>45358</v>
      </c>
      <c r="C417" t="s">
        <v>17</v>
      </c>
      <c r="D417" t="s">
        <v>21</v>
      </c>
      <c r="E417" t="s">
        <v>29</v>
      </c>
      <c r="F417" t="s">
        <v>137</v>
      </c>
      <c r="G417">
        <v>239.89</v>
      </c>
      <c r="H417">
        <v>10</v>
      </c>
      <c r="I417">
        <v>40.57</v>
      </c>
    </row>
    <row r="418" spans="1:9" x14ac:dyDescent="0.3">
      <c r="A418" t="s">
        <v>615</v>
      </c>
      <c r="B418" s="1">
        <v>45487</v>
      </c>
      <c r="C418" t="s">
        <v>17</v>
      </c>
      <c r="D418" t="s">
        <v>21</v>
      </c>
      <c r="E418" t="s">
        <v>36</v>
      </c>
      <c r="F418" t="s">
        <v>226</v>
      </c>
      <c r="G418">
        <v>2628.45</v>
      </c>
      <c r="H418">
        <v>6</v>
      </c>
      <c r="I418">
        <v>306.81</v>
      </c>
    </row>
    <row r="419" spans="1:9" x14ac:dyDescent="0.3">
      <c r="A419" t="s">
        <v>616</v>
      </c>
      <c r="B419" s="1">
        <v>45600</v>
      </c>
      <c r="C419" t="s">
        <v>25</v>
      </c>
      <c r="D419" t="s">
        <v>32</v>
      </c>
      <c r="E419" t="s">
        <v>33</v>
      </c>
      <c r="F419" t="s">
        <v>436</v>
      </c>
      <c r="G419">
        <v>1002.69</v>
      </c>
      <c r="H419">
        <v>1</v>
      </c>
      <c r="I419">
        <v>284.52999999999997</v>
      </c>
    </row>
    <row r="420" spans="1:9" x14ac:dyDescent="0.3">
      <c r="A420" t="s">
        <v>617</v>
      </c>
      <c r="B420" s="1">
        <v>45914</v>
      </c>
      <c r="C420" t="s">
        <v>17</v>
      </c>
      <c r="D420" t="s">
        <v>21</v>
      </c>
      <c r="E420" t="s">
        <v>36</v>
      </c>
      <c r="F420" t="s">
        <v>375</v>
      </c>
      <c r="G420">
        <v>928.26</v>
      </c>
      <c r="H420">
        <v>2</v>
      </c>
      <c r="I420">
        <v>247.22</v>
      </c>
    </row>
    <row r="421" spans="1:9" x14ac:dyDescent="0.3">
      <c r="A421" t="s">
        <v>618</v>
      </c>
      <c r="B421" s="1">
        <v>45294</v>
      </c>
      <c r="C421" t="s">
        <v>10</v>
      </c>
      <c r="D421" t="s">
        <v>11</v>
      </c>
      <c r="E421" t="s">
        <v>18</v>
      </c>
      <c r="F421" t="s">
        <v>237</v>
      </c>
      <c r="G421">
        <v>3153.74</v>
      </c>
      <c r="H421">
        <v>7</v>
      </c>
      <c r="I421">
        <v>389.94</v>
      </c>
    </row>
    <row r="422" spans="1:9" x14ac:dyDescent="0.3">
      <c r="A422" t="s">
        <v>619</v>
      </c>
      <c r="B422" s="1">
        <v>45850</v>
      </c>
      <c r="C422" t="s">
        <v>28</v>
      </c>
      <c r="D422" t="s">
        <v>21</v>
      </c>
      <c r="E422" t="s">
        <v>36</v>
      </c>
      <c r="F422" t="s">
        <v>432</v>
      </c>
      <c r="G422">
        <v>4241.8100000000004</v>
      </c>
      <c r="H422">
        <v>4</v>
      </c>
      <c r="I422">
        <v>1259.42</v>
      </c>
    </row>
    <row r="423" spans="1:9" x14ac:dyDescent="0.3">
      <c r="A423" t="s">
        <v>620</v>
      </c>
      <c r="B423" s="1">
        <v>45816</v>
      </c>
      <c r="C423" t="s">
        <v>17</v>
      </c>
      <c r="D423" t="s">
        <v>21</v>
      </c>
      <c r="E423" t="s">
        <v>36</v>
      </c>
      <c r="F423" t="s">
        <v>248</v>
      </c>
      <c r="G423">
        <v>854.06</v>
      </c>
      <c r="H423">
        <v>7</v>
      </c>
      <c r="I423">
        <v>220.25</v>
      </c>
    </row>
    <row r="424" spans="1:9" x14ac:dyDescent="0.3">
      <c r="A424" t="s">
        <v>621</v>
      </c>
      <c r="B424" s="1">
        <v>45782</v>
      </c>
      <c r="C424" t="s">
        <v>17</v>
      </c>
      <c r="D424" t="s">
        <v>11</v>
      </c>
      <c r="E424" t="s">
        <v>12</v>
      </c>
      <c r="F424" t="s">
        <v>257</v>
      </c>
      <c r="G424">
        <v>4638.7299999999996</v>
      </c>
      <c r="H424">
        <v>1</v>
      </c>
      <c r="I424">
        <v>599.26</v>
      </c>
    </row>
    <row r="425" spans="1:9" x14ac:dyDescent="0.3">
      <c r="A425" t="s">
        <v>622</v>
      </c>
      <c r="B425" s="1">
        <v>45594</v>
      </c>
      <c r="C425" t="s">
        <v>10</v>
      </c>
      <c r="D425" t="s">
        <v>11</v>
      </c>
      <c r="E425" t="s">
        <v>18</v>
      </c>
      <c r="F425" t="s">
        <v>90</v>
      </c>
      <c r="G425">
        <v>690.73</v>
      </c>
      <c r="H425">
        <v>1</v>
      </c>
      <c r="I425">
        <v>-30.32</v>
      </c>
    </row>
    <row r="426" spans="1:9" x14ac:dyDescent="0.3">
      <c r="A426" t="s">
        <v>623</v>
      </c>
      <c r="B426" s="1">
        <v>45836</v>
      </c>
      <c r="C426" t="s">
        <v>10</v>
      </c>
      <c r="D426" t="s">
        <v>21</v>
      </c>
      <c r="E426" t="s">
        <v>22</v>
      </c>
      <c r="F426" t="s">
        <v>168</v>
      </c>
      <c r="G426">
        <v>4381.05</v>
      </c>
      <c r="H426">
        <v>6</v>
      </c>
      <c r="I426">
        <v>113.9</v>
      </c>
    </row>
    <row r="427" spans="1:9" x14ac:dyDescent="0.3">
      <c r="A427" t="s">
        <v>624</v>
      </c>
      <c r="B427" s="1">
        <v>45775</v>
      </c>
      <c r="C427" t="s">
        <v>25</v>
      </c>
      <c r="D427" t="s">
        <v>32</v>
      </c>
      <c r="E427" t="s">
        <v>39</v>
      </c>
      <c r="F427" t="s">
        <v>267</v>
      </c>
      <c r="G427">
        <v>4414.57</v>
      </c>
      <c r="H427">
        <v>5</v>
      </c>
      <c r="I427">
        <v>163.05000000000001</v>
      </c>
    </row>
    <row r="428" spans="1:9" x14ac:dyDescent="0.3">
      <c r="A428" t="s">
        <v>625</v>
      </c>
      <c r="B428" s="1">
        <v>45790</v>
      </c>
      <c r="C428" t="s">
        <v>10</v>
      </c>
      <c r="D428" t="s">
        <v>11</v>
      </c>
      <c r="E428" t="s">
        <v>18</v>
      </c>
      <c r="F428" t="s">
        <v>626</v>
      </c>
      <c r="G428">
        <v>3052.61</v>
      </c>
      <c r="H428">
        <v>3</v>
      </c>
      <c r="I428">
        <v>-82.59</v>
      </c>
    </row>
    <row r="429" spans="1:9" x14ac:dyDescent="0.3">
      <c r="A429" t="s">
        <v>627</v>
      </c>
      <c r="B429" s="1">
        <v>45814</v>
      </c>
      <c r="C429" t="s">
        <v>25</v>
      </c>
      <c r="D429" t="s">
        <v>11</v>
      </c>
      <c r="E429" t="s">
        <v>48</v>
      </c>
      <c r="F429" t="s">
        <v>211</v>
      </c>
      <c r="G429">
        <v>2451.48</v>
      </c>
      <c r="H429">
        <v>9</v>
      </c>
      <c r="I429">
        <v>-7.04</v>
      </c>
    </row>
    <row r="430" spans="1:9" x14ac:dyDescent="0.3">
      <c r="A430" t="s">
        <v>628</v>
      </c>
      <c r="B430" s="1">
        <v>45754</v>
      </c>
      <c r="C430" t="s">
        <v>17</v>
      </c>
      <c r="D430" t="s">
        <v>11</v>
      </c>
      <c r="E430" t="s">
        <v>48</v>
      </c>
      <c r="F430" t="s">
        <v>223</v>
      </c>
      <c r="G430">
        <v>1745.45</v>
      </c>
      <c r="H430">
        <v>6</v>
      </c>
      <c r="I430">
        <v>-138.55000000000001</v>
      </c>
    </row>
    <row r="431" spans="1:9" x14ac:dyDescent="0.3">
      <c r="A431" t="s">
        <v>629</v>
      </c>
      <c r="B431" s="1">
        <v>45940</v>
      </c>
      <c r="C431" t="s">
        <v>10</v>
      </c>
      <c r="D431" t="s">
        <v>32</v>
      </c>
      <c r="E431" t="s">
        <v>33</v>
      </c>
      <c r="F431" t="s">
        <v>127</v>
      </c>
      <c r="G431">
        <v>1305.5999999999999</v>
      </c>
      <c r="H431">
        <v>4</v>
      </c>
      <c r="I431">
        <v>-126.33</v>
      </c>
    </row>
    <row r="432" spans="1:9" x14ac:dyDescent="0.3">
      <c r="A432" t="s">
        <v>630</v>
      </c>
      <c r="B432" s="1">
        <v>45800</v>
      </c>
      <c r="C432" t="s">
        <v>17</v>
      </c>
      <c r="D432" t="s">
        <v>32</v>
      </c>
      <c r="E432" t="s">
        <v>73</v>
      </c>
      <c r="F432" t="s">
        <v>19</v>
      </c>
      <c r="G432">
        <v>2904.23</v>
      </c>
      <c r="H432">
        <v>8</v>
      </c>
      <c r="I432">
        <v>852.64</v>
      </c>
    </row>
    <row r="433" spans="1:9" x14ac:dyDescent="0.3">
      <c r="A433" t="s">
        <v>631</v>
      </c>
      <c r="B433" s="1">
        <v>45330</v>
      </c>
      <c r="C433" t="s">
        <v>17</v>
      </c>
      <c r="D433" t="s">
        <v>11</v>
      </c>
      <c r="E433" t="s">
        <v>18</v>
      </c>
      <c r="F433" t="s">
        <v>184</v>
      </c>
      <c r="G433">
        <v>3237.22</v>
      </c>
      <c r="H433">
        <v>7</v>
      </c>
      <c r="I433">
        <v>44.2</v>
      </c>
    </row>
    <row r="434" spans="1:9" x14ac:dyDescent="0.3">
      <c r="A434" t="s">
        <v>632</v>
      </c>
      <c r="B434" s="1">
        <v>45716</v>
      </c>
      <c r="C434" t="s">
        <v>10</v>
      </c>
      <c r="D434" t="s">
        <v>11</v>
      </c>
      <c r="E434" t="s">
        <v>12</v>
      </c>
      <c r="F434" t="s">
        <v>323</v>
      </c>
      <c r="G434">
        <v>2889.33</v>
      </c>
      <c r="H434">
        <v>7</v>
      </c>
      <c r="I434">
        <v>-135.26</v>
      </c>
    </row>
    <row r="435" spans="1:9" x14ac:dyDescent="0.3">
      <c r="A435" t="s">
        <v>633</v>
      </c>
      <c r="B435" s="1">
        <v>45917</v>
      </c>
      <c r="C435" t="s">
        <v>25</v>
      </c>
      <c r="D435" t="s">
        <v>11</v>
      </c>
      <c r="E435" t="s">
        <v>48</v>
      </c>
      <c r="F435" t="s">
        <v>523</v>
      </c>
      <c r="G435">
        <v>3026.9</v>
      </c>
      <c r="H435">
        <v>3</v>
      </c>
      <c r="I435">
        <v>-254.61</v>
      </c>
    </row>
    <row r="436" spans="1:9" x14ac:dyDescent="0.3">
      <c r="A436" t="s">
        <v>634</v>
      </c>
      <c r="B436" s="1">
        <v>45476</v>
      </c>
      <c r="C436" t="s">
        <v>17</v>
      </c>
      <c r="D436" t="s">
        <v>11</v>
      </c>
      <c r="E436" t="s">
        <v>48</v>
      </c>
      <c r="F436" t="s">
        <v>59</v>
      </c>
      <c r="G436">
        <v>2897.78</v>
      </c>
      <c r="H436">
        <v>7</v>
      </c>
      <c r="I436">
        <v>841.4</v>
      </c>
    </row>
    <row r="437" spans="1:9" x14ac:dyDescent="0.3">
      <c r="A437" t="s">
        <v>635</v>
      </c>
      <c r="B437" s="1">
        <v>45699</v>
      </c>
      <c r="C437" t="s">
        <v>28</v>
      </c>
      <c r="D437" t="s">
        <v>11</v>
      </c>
      <c r="E437" t="s">
        <v>48</v>
      </c>
      <c r="F437" t="s">
        <v>270</v>
      </c>
      <c r="G437">
        <v>2941.5</v>
      </c>
      <c r="H437">
        <v>5</v>
      </c>
      <c r="I437">
        <v>439.72</v>
      </c>
    </row>
    <row r="438" spans="1:9" x14ac:dyDescent="0.3">
      <c r="A438" t="s">
        <v>636</v>
      </c>
      <c r="B438" s="1">
        <v>45654</v>
      </c>
      <c r="C438" t="s">
        <v>28</v>
      </c>
      <c r="D438" t="s">
        <v>32</v>
      </c>
      <c r="E438" t="s">
        <v>39</v>
      </c>
      <c r="F438" t="s">
        <v>267</v>
      </c>
      <c r="G438">
        <v>2156.11</v>
      </c>
      <c r="H438">
        <v>4</v>
      </c>
      <c r="I438">
        <v>95.45</v>
      </c>
    </row>
    <row r="439" spans="1:9" x14ac:dyDescent="0.3">
      <c r="A439" t="s">
        <v>637</v>
      </c>
      <c r="B439" s="1">
        <v>45627</v>
      </c>
      <c r="C439" t="s">
        <v>10</v>
      </c>
      <c r="D439" t="s">
        <v>11</v>
      </c>
      <c r="E439" t="s">
        <v>18</v>
      </c>
      <c r="F439" t="s">
        <v>626</v>
      </c>
      <c r="G439">
        <v>1303.17</v>
      </c>
      <c r="H439">
        <v>1</v>
      </c>
      <c r="I439">
        <v>38.96</v>
      </c>
    </row>
    <row r="440" spans="1:9" x14ac:dyDescent="0.3">
      <c r="A440" t="s">
        <v>638</v>
      </c>
      <c r="B440" s="1">
        <v>45995</v>
      </c>
      <c r="C440" t="s">
        <v>10</v>
      </c>
      <c r="D440" t="s">
        <v>21</v>
      </c>
      <c r="E440" t="s">
        <v>36</v>
      </c>
      <c r="F440" t="s">
        <v>53</v>
      </c>
      <c r="G440">
        <v>500.47</v>
      </c>
      <c r="H440">
        <v>1</v>
      </c>
      <c r="I440">
        <v>93.88</v>
      </c>
    </row>
    <row r="441" spans="1:9" x14ac:dyDescent="0.3">
      <c r="A441" t="s">
        <v>639</v>
      </c>
      <c r="B441" s="1">
        <v>45609</v>
      </c>
      <c r="C441" t="s">
        <v>17</v>
      </c>
      <c r="D441" t="s">
        <v>11</v>
      </c>
      <c r="E441" t="s">
        <v>18</v>
      </c>
      <c r="F441" t="s">
        <v>137</v>
      </c>
      <c r="G441">
        <v>1263.93</v>
      </c>
      <c r="H441">
        <v>5</v>
      </c>
      <c r="I441">
        <v>-24.12</v>
      </c>
    </row>
    <row r="442" spans="1:9" x14ac:dyDescent="0.3">
      <c r="A442" t="s">
        <v>640</v>
      </c>
      <c r="B442" s="1">
        <v>45525</v>
      </c>
      <c r="C442" t="s">
        <v>17</v>
      </c>
      <c r="D442" t="s">
        <v>21</v>
      </c>
      <c r="E442" t="s">
        <v>22</v>
      </c>
      <c r="F442" t="s">
        <v>641</v>
      </c>
      <c r="G442">
        <v>1234.29</v>
      </c>
      <c r="H442">
        <v>2</v>
      </c>
      <c r="I442">
        <v>-97.83</v>
      </c>
    </row>
    <row r="443" spans="1:9" x14ac:dyDescent="0.3">
      <c r="A443" t="s">
        <v>642</v>
      </c>
      <c r="B443" s="1">
        <v>45375</v>
      </c>
      <c r="C443" t="s">
        <v>17</v>
      </c>
      <c r="D443" t="s">
        <v>11</v>
      </c>
      <c r="E443" t="s">
        <v>12</v>
      </c>
      <c r="F443" t="s">
        <v>643</v>
      </c>
      <c r="G443">
        <v>972.18</v>
      </c>
      <c r="H443">
        <v>6</v>
      </c>
      <c r="I443">
        <v>89.78</v>
      </c>
    </row>
    <row r="444" spans="1:9" x14ac:dyDescent="0.3">
      <c r="A444" t="s">
        <v>644</v>
      </c>
      <c r="B444" s="1">
        <v>45382</v>
      </c>
      <c r="C444" t="s">
        <v>28</v>
      </c>
      <c r="D444" t="s">
        <v>32</v>
      </c>
      <c r="E444" t="s">
        <v>73</v>
      </c>
      <c r="F444" t="s">
        <v>164</v>
      </c>
      <c r="G444">
        <v>131.53</v>
      </c>
      <c r="H444">
        <v>10</v>
      </c>
      <c r="I444">
        <v>30.01</v>
      </c>
    </row>
    <row r="445" spans="1:9" x14ac:dyDescent="0.3">
      <c r="A445" t="s">
        <v>645</v>
      </c>
      <c r="B445" s="1">
        <v>45734</v>
      </c>
      <c r="C445" t="s">
        <v>17</v>
      </c>
      <c r="D445" t="s">
        <v>21</v>
      </c>
      <c r="E445" t="s">
        <v>29</v>
      </c>
      <c r="F445" t="s">
        <v>164</v>
      </c>
      <c r="G445">
        <v>4743.12</v>
      </c>
      <c r="H445">
        <v>5</v>
      </c>
      <c r="I445">
        <v>280.69</v>
      </c>
    </row>
    <row r="446" spans="1:9" x14ac:dyDescent="0.3">
      <c r="A446" t="s">
        <v>646</v>
      </c>
      <c r="B446" s="1">
        <v>45842</v>
      </c>
      <c r="C446" t="s">
        <v>17</v>
      </c>
      <c r="D446" t="s">
        <v>21</v>
      </c>
      <c r="E446" t="s">
        <v>36</v>
      </c>
      <c r="F446" t="s">
        <v>647</v>
      </c>
      <c r="G446">
        <v>226.37</v>
      </c>
      <c r="H446">
        <v>5</v>
      </c>
      <c r="I446">
        <v>31.36</v>
      </c>
    </row>
    <row r="447" spans="1:9" x14ac:dyDescent="0.3">
      <c r="A447" t="s">
        <v>648</v>
      </c>
      <c r="B447" s="1">
        <v>45767</v>
      </c>
      <c r="C447" t="s">
        <v>28</v>
      </c>
      <c r="D447" t="s">
        <v>11</v>
      </c>
      <c r="E447" t="s">
        <v>48</v>
      </c>
      <c r="F447" t="s">
        <v>30</v>
      </c>
      <c r="G447">
        <v>2724.32</v>
      </c>
      <c r="H447">
        <v>10</v>
      </c>
      <c r="I447">
        <v>-228.09</v>
      </c>
    </row>
    <row r="448" spans="1:9" x14ac:dyDescent="0.3">
      <c r="A448" t="s">
        <v>649</v>
      </c>
      <c r="B448" s="1">
        <v>45667</v>
      </c>
      <c r="C448" t="s">
        <v>28</v>
      </c>
      <c r="D448" t="s">
        <v>11</v>
      </c>
      <c r="E448" t="s">
        <v>18</v>
      </c>
      <c r="F448" t="s">
        <v>84</v>
      </c>
      <c r="G448">
        <v>4150.83</v>
      </c>
      <c r="H448">
        <v>9</v>
      </c>
      <c r="I448">
        <v>1241.44</v>
      </c>
    </row>
    <row r="449" spans="1:9" x14ac:dyDescent="0.3">
      <c r="A449" t="s">
        <v>650</v>
      </c>
      <c r="B449" s="1">
        <v>45757</v>
      </c>
      <c r="C449" t="s">
        <v>28</v>
      </c>
      <c r="D449" t="s">
        <v>11</v>
      </c>
      <c r="E449" t="s">
        <v>12</v>
      </c>
      <c r="F449" t="s">
        <v>257</v>
      </c>
      <c r="G449">
        <v>1940.47</v>
      </c>
      <c r="H449">
        <v>3</v>
      </c>
      <c r="I449">
        <v>444.84</v>
      </c>
    </row>
    <row r="450" spans="1:9" x14ac:dyDescent="0.3">
      <c r="A450" t="s">
        <v>651</v>
      </c>
      <c r="B450" s="1">
        <v>45808</v>
      </c>
      <c r="C450" t="s">
        <v>17</v>
      </c>
      <c r="D450" t="s">
        <v>21</v>
      </c>
      <c r="E450" t="s">
        <v>29</v>
      </c>
      <c r="F450" t="s">
        <v>82</v>
      </c>
      <c r="G450">
        <v>2322.2600000000002</v>
      </c>
      <c r="H450">
        <v>7</v>
      </c>
      <c r="I450">
        <v>173.58</v>
      </c>
    </row>
    <row r="451" spans="1:9" x14ac:dyDescent="0.3">
      <c r="A451" t="s">
        <v>652</v>
      </c>
      <c r="B451" s="1">
        <v>45567</v>
      </c>
      <c r="C451" t="s">
        <v>28</v>
      </c>
      <c r="D451" t="s">
        <v>32</v>
      </c>
      <c r="E451" t="s">
        <v>39</v>
      </c>
      <c r="F451" t="s">
        <v>207</v>
      </c>
      <c r="G451">
        <v>1418.38</v>
      </c>
      <c r="H451">
        <v>9</v>
      </c>
      <c r="I451">
        <v>132.38</v>
      </c>
    </row>
    <row r="452" spans="1:9" x14ac:dyDescent="0.3">
      <c r="A452" t="s">
        <v>653</v>
      </c>
      <c r="B452" s="1">
        <v>46005</v>
      </c>
      <c r="C452" t="s">
        <v>28</v>
      </c>
      <c r="D452" t="s">
        <v>32</v>
      </c>
      <c r="E452" t="s">
        <v>33</v>
      </c>
      <c r="F452" t="s">
        <v>57</v>
      </c>
      <c r="G452">
        <v>1279.1400000000001</v>
      </c>
      <c r="H452">
        <v>5</v>
      </c>
      <c r="I452">
        <v>71.599999999999994</v>
      </c>
    </row>
    <row r="453" spans="1:9" x14ac:dyDescent="0.3">
      <c r="A453" t="s">
        <v>654</v>
      </c>
      <c r="B453" s="1">
        <v>45915</v>
      </c>
      <c r="C453" t="s">
        <v>10</v>
      </c>
      <c r="D453" t="s">
        <v>11</v>
      </c>
      <c r="E453" t="s">
        <v>12</v>
      </c>
      <c r="F453" t="s">
        <v>49</v>
      </c>
      <c r="G453">
        <v>3073.64</v>
      </c>
      <c r="H453">
        <v>5</v>
      </c>
      <c r="I453">
        <v>761.84</v>
      </c>
    </row>
    <row r="454" spans="1:9" x14ac:dyDescent="0.3">
      <c r="A454" t="s">
        <v>655</v>
      </c>
      <c r="B454" s="1">
        <v>45377</v>
      </c>
      <c r="C454" t="s">
        <v>10</v>
      </c>
      <c r="D454" t="s">
        <v>21</v>
      </c>
      <c r="E454" t="s">
        <v>29</v>
      </c>
      <c r="F454" t="s">
        <v>55</v>
      </c>
      <c r="G454">
        <v>319.25</v>
      </c>
      <c r="H454">
        <v>6</v>
      </c>
      <c r="I454">
        <v>8.3699999999999992</v>
      </c>
    </row>
    <row r="455" spans="1:9" x14ac:dyDescent="0.3">
      <c r="A455" t="s">
        <v>656</v>
      </c>
      <c r="B455" s="1">
        <v>45906</v>
      </c>
      <c r="C455" t="s">
        <v>28</v>
      </c>
      <c r="D455" t="s">
        <v>21</v>
      </c>
      <c r="E455" t="s">
        <v>36</v>
      </c>
      <c r="F455" t="s">
        <v>44</v>
      </c>
      <c r="G455">
        <v>3324.63</v>
      </c>
      <c r="H455">
        <v>6</v>
      </c>
      <c r="I455">
        <v>-9.5399999999999991</v>
      </c>
    </row>
    <row r="456" spans="1:9" x14ac:dyDescent="0.3">
      <c r="A456" t="s">
        <v>657</v>
      </c>
      <c r="B456" s="1">
        <v>45695</v>
      </c>
      <c r="C456" t="s">
        <v>25</v>
      </c>
      <c r="D456" t="s">
        <v>11</v>
      </c>
      <c r="E456" t="s">
        <v>12</v>
      </c>
      <c r="F456" t="s">
        <v>265</v>
      </c>
      <c r="G456">
        <v>1219.9100000000001</v>
      </c>
      <c r="H456">
        <v>8</v>
      </c>
      <c r="I456">
        <v>281.94</v>
      </c>
    </row>
    <row r="457" spans="1:9" x14ac:dyDescent="0.3">
      <c r="A457" t="s">
        <v>658</v>
      </c>
      <c r="B457" s="1">
        <v>45555</v>
      </c>
      <c r="C457" t="s">
        <v>28</v>
      </c>
      <c r="D457" t="s">
        <v>11</v>
      </c>
      <c r="E457" t="s">
        <v>48</v>
      </c>
      <c r="F457" t="s">
        <v>137</v>
      </c>
      <c r="G457">
        <v>4463.3</v>
      </c>
      <c r="H457">
        <v>7</v>
      </c>
      <c r="I457">
        <v>-358.78</v>
      </c>
    </row>
    <row r="458" spans="1:9" x14ac:dyDescent="0.3">
      <c r="A458" t="s">
        <v>659</v>
      </c>
      <c r="B458" s="1">
        <v>45851</v>
      </c>
      <c r="C458" t="s">
        <v>28</v>
      </c>
      <c r="D458" t="s">
        <v>32</v>
      </c>
      <c r="E458" t="s">
        <v>39</v>
      </c>
      <c r="F458" t="s">
        <v>541</v>
      </c>
      <c r="G458">
        <v>4330.54</v>
      </c>
      <c r="H458">
        <v>4</v>
      </c>
      <c r="I458">
        <v>7.19</v>
      </c>
    </row>
    <row r="459" spans="1:9" x14ac:dyDescent="0.3">
      <c r="A459" t="s">
        <v>660</v>
      </c>
      <c r="B459" s="1">
        <v>45626</v>
      </c>
      <c r="C459" t="s">
        <v>10</v>
      </c>
      <c r="D459" t="s">
        <v>11</v>
      </c>
      <c r="E459" t="s">
        <v>18</v>
      </c>
      <c r="F459" t="s">
        <v>80</v>
      </c>
      <c r="G459">
        <v>1483.5</v>
      </c>
      <c r="H459">
        <v>10</v>
      </c>
      <c r="I459">
        <v>107.07</v>
      </c>
    </row>
    <row r="460" spans="1:9" x14ac:dyDescent="0.3">
      <c r="A460" t="s">
        <v>661</v>
      </c>
      <c r="B460" s="1">
        <v>45871</v>
      </c>
      <c r="C460" t="s">
        <v>25</v>
      </c>
      <c r="D460" t="s">
        <v>11</v>
      </c>
      <c r="E460" t="s">
        <v>48</v>
      </c>
      <c r="F460" t="s">
        <v>412</v>
      </c>
      <c r="G460">
        <v>775.06</v>
      </c>
      <c r="H460">
        <v>6</v>
      </c>
      <c r="I460">
        <v>155.57</v>
      </c>
    </row>
    <row r="461" spans="1:9" x14ac:dyDescent="0.3">
      <c r="A461" t="s">
        <v>662</v>
      </c>
      <c r="B461" s="1">
        <v>45699</v>
      </c>
      <c r="C461" t="s">
        <v>10</v>
      </c>
      <c r="D461" t="s">
        <v>21</v>
      </c>
      <c r="E461" t="s">
        <v>29</v>
      </c>
      <c r="F461" t="s">
        <v>362</v>
      </c>
      <c r="G461">
        <v>3367.91</v>
      </c>
      <c r="H461">
        <v>9</v>
      </c>
      <c r="I461">
        <v>359.86</v>
      </c>
    </row>
    <row r="462" spans="1:9" x14ac:dyDescent="0.3">
      <c r="A462" t="s">
        <v>663</v>
      </c>
      <c r="B462" s="1">
        <v>45631</v>
      </c>
      <c r="C462" t="s">
        <v>17</v>
      </c>
      <c r="D462" t="s">
        <v>11</v>
      </c>
      <c r="E462" t="s">
        <v>48</v>
      </c>
      <c r="F462" t="s">
        <v>440</v>
      </c>
      <c r="G462">
        <v>2907.28</v>
      </c>
      <c r="H462">
        <v>10</v>
      </c>
      <c r="I462">
        <v>0.34</v>
      </c>
    </row>
    <row r="463" spans="1:9" x14ac:dyDescent="0.3">
      <c r="A463" t="s">
        <v>664</v>
      </c>
      <c r="B463" s="1">
        <v>45700</v>
      </c>
      <c r="C463" t="s">
        <v>28</v>
      </c>
      <c r="D463" t="s">
        <v>11</v>
      </c>
      <c r="E463" t="s">
        <v>48</v>
      </c>
      <c r="F463" t="s">
        <v>78</v>
      </c>
      <c r="G463">
        <v>328.35</v>
      </c>
      <c r="H463">
        <v>7</v>
      </c>
      <c r="I463">
        <v>40.270000000000003</v>
      </c>
    </row>
    <row r="464" spans="1:9" x14ac:dyDescent="0.3">
      <c r="A464" t="s">
        <v>665</v>
      </c>
      <c r="B464" s="1">
        <v>45679</v>
      </c>
      <c r="C464" t="s">
        <v>10</v>
      </c>
      <c r="D464" t="s">
        <v>32</v>
      </c>
      <c r="E464" t="s">
        <v>33</v>
      </c>
      <c r="F464" t="s">
        <v>461</v>
      </c>
      <c r="G464">
        <v>4633.78</v>
      </c>
      <c r="H464">
        <v>3</v>
      </c>
      <c r="I464">
        <v>1053.71</v>
      </c>
    </row>
    <row r="465" spans="1:9" x14ac:dyDescent="0.3">
      <c r="A465" t="s">
        <v>666</v>
      </c>
      <c r="B465" s="1">
        <v>45625</v>
      </c>
      <c r="C465" t="s">
        <v>28</v>
      </c>
      <c r="D465" t="s">
        <v>21</v>
      </c>
      <c r="E465" t="s">
        <v>29</v>
      </c>
      <c r="F465" t="s">
        <v>65</v>
      </c>
      <c r="G465">
        <v>3347.25</v>
      </c>
      <c r="H465">
        <v>2</v>
      </c>
      <c r="I465">
        <v>551.79</v>
      </c>
    </row>
    <row r="466" spans="1:9" x14ac:dyDescent="0.3">
      <c r="A466" t="s">
        <v>667</v>
      </c>
      <c r="B466" s="1">
        <v>45793</v>
      </c>
      <c r="C466" t="s">
        <v>25</v>
      </c>
      <c r="D466" t="s">
        <v>32</v>
      </c>
      <c r="E466" t="s">
        <v>73</v>
      </c>
      <c r="F466" t="s">
        <v>129</v>
      </c>
      <c r="G466">
        <v>3626.75</v>
      </c>
      <c r="H466">
        <v>10</v>
      </c>
      <c r="I466">
        <v>194.05</v>
      </c>
    </row>
    <row r="467" spans="1:9" x14ac:dyDescent="0.3">
      <c r="A467" t="s">
        <v>668</v>
      </c>
      <c r="B467" s="1">
        <v>45642</v>
      </c>
      <c r="C467" t="s">
        <v>10</v>
      </c>
      <c r="D467" t="s">
        <v>32</v>
      </c>
      <c r="E467" t="s">
        <v>73</v>
      </c>
      <c r="F467" t="s">
        <v>535</v>
      </c>
      <c r="G467">
        <v>2018.42</v>
      </c>
      <c r="H467">
        <v>2</v>
      </c>
      <c r="I467">
        <v>237.5</v>
      </c>
    </row>
    <row r="468" spans="1:9" x14ac:dyDescent="0.3">
      <c r="A468" t="s">
        <v>669</v>
      </c>
      <c r="B468" s="1">
        <v>45346</v>
      </c>
      <c r="C468" t="s">
        <v>28</v>
      </c>
      <c r="D468" t="s">
        <v>21</v>
      </c>
      <c r="E468" t="s">
        <v>36</v>
      </c>
      <c r="F468" t="s">
        <v>88</v>
      </c>
      <c r="G468">
        <v>440.59</v>
      </c>
      <c r="H468">
        <v>4</v>
      </c>
      <c r="I468">
        <v>79.209999999999994</v>
      </c>
    </row>
    <row r="469" spans="1:9" x14ac:dyDescent="0.3">
      <c r="A469" t="s">
        <v>670</v>
      </c>
      <c r="B469" s="1">
        <v>45970</v>
      </c>
      <c r="C469" t="s">
        <v>25</v>
      </c>
      <c r="D469" t="s">
        <v>11</v>
      </c>
      <c r="E469" t="s">
        <v>18</v>
      </c>
      <c r="F469" t="s">
        <v>82</v>
      </c>
      <c r="G469">
        <v>4779.59</v>
      </c>
      <c r="H469">
        <v>8</v>
      </c>
      <c r="I469">
        <v>799.31</v>
      </c>
    </row>
    <row r="470" spans="1:9" x14ac:dyDescent="0.3">
      <c r="A470" t="s">
        <v>671</v>
      </c>
      <c r="B470" s="1">
        <v>45727</v>
      </c>
      <c r="C470" t="s">
        <v>10</v>
      </c>
      <c r="D470" t="s">
        <v>21</v>
      </c>
      <c r="E470" t="s">
        <v>36</v>
      </c>
      <c r="F470" t="s">
        <v>672</v>
      </c>
      <c r="G470">
        <v>4169.3599999999997</v>
      </c>
      <c r="H470">
        <v>1</v>
      </c>
      <c r="I470">
        <v>867.76</v>
      </c>
    </row>
    <row r="471" spans="1:9" x14ac:dyDescent="0.3">
      <c r="A471" t="s">
        <v>673</v>
      </c>
      <c r="B471" s="1">
        <v>45965</v>
      </c>
      <c r="C471" t="s">
        <v>17</v>
      </c>
      <c r="D471" t="s">
        <v>11</v>
      </c>
      <c r="E471" t="s">
        <v>12</v>
      </c>
      <c r="F471" t="s">
        <v>535</v>
      </c>
      <c r="G471">
        <v>646.48</v>
      </c>
      <c r="H471">
        <v>5</v>
      </c>
      <c r="I471">
        <v>-40.36</v>
      </c>
    </row>
    <row r="472" spans="1:9" x14ac:dyDescent="0.3">
      <c r="A472" t="s">
        <v>674</v>
      </c>
      <c r="B472" s="1">
        <v>45820</v>
      </c>
      <c r="C472" t="s">
        <v>28</v>
      </c>
      <c r="D472" t="s">
        <v>32</v>
      </c>
      <c r="E472" t="s">
        <v>39</v>
      </c>
      <c r="F472" t="s">
        <v>55</v>
      </c>
      <c r="G472">
        <v>3930.4</v>
      </c>
      <c r="H472">
        <v>8</v>
      </c>
      <c r="I472">
        <v>1178.07</v>
      </c>
    </row>
    <row r="473" spans="1:9" x14ac:dyDescent="0.3">
      <c r="A473" t="s">
        <v>675</v>
      </c>
      <c r="B473" s="1">
        <v>45442</v>
      </c>
      <c r="C473" t="s">
        <v>17</v>
      </c>
      <c r="D473" t="s">
        <v>11</v>
      </c>
      <c r="E473" t="s">
        <v>12</v>
      </c>
      <c r="F473" t="s">
        <v>383</v>
      </c>
      <c r="G473">
        <v>2454.0300000000002</v>
      </c>
      <c r="H473">
        <v>9</v>
      </c>
      <c r="I473">
        <v>444.27</v>
      </c>
    </row>
    <row r="474" spans="1:9" x14ac:dyDescent="0.3">
      <c r="A474" t="s">
        <v>676</v>
      </c>
      <c r="B474" s="1">
        <v>46009</v>
      </c>
      <c r="C474" t="s">
        <v>17</v>
      </c>
      <c r="D474" t="s">
        <v>32</v>
      </c>
      <c r="E474" t="s">
        <v>39</v>
      </c>
      <c r="F474" t="s">
        <v>370</v>
      </c>
      <c r="G474">
        <v>1063.21</v>
      </c>
      <c r="H474">
        <v>10</v>
      </c>
      <c r="I474">
        <v>-11.79</v>
      </c>
    </row>
    <row r="475" spans="1:9" x14ac:dyDescent="0.3">
      <c r="A475" t="s">
        <v>677</v>
      </c>
      <c r="B475" s="1">
        <v>45600</v>
      </c>
      <c r="C475" t="s">
        <v>10</v>
      </c>
      <c r="D475" t="s">
        <v>32</v>
      </c>
      <c r="E475" t="s">
        <v>39</v>
      </c>
      <c r="F475" t="s">
        <v>195</v>
      </c>
      <c r="G475">
        <v>4998.38</v>
      </c>
      <c r="H475">
        <v>7</v>
      </c>
      <c r="I475">
        <v>-298.85000000000002</v>
      </c>
    </row>
    <row r="476" spans="1:9" x14ac:dyDescent="0.3">
      <c r="A476" t="s">
        <v>678</v>
      </c>
      <c r="B476" s="1">
        <v>45378</v>
      </c>
      <c r="C476" t="s">
        <v>28</v>
      </c>
      <c r="D476" t="s">
        <v>32</v>
      </c>
      <c r="E476" t="s">
        <v>39</v>
      </c>
      <c r="F476" t="s">
        <v>49</v>
      </c>
      <c r="G476">
        <v>4209.16</v>
      </c>
      <c r="H476">
        <v>3</v>
      </c>
      <c r="I476">
        <v>880.97</v>
      </c>
    </row>
    <row r="477" spans="1:9" x14ac:dyDescent="0.3">
      <c r="A477" t="s">
        <v>679</v>
      </c>
      <c r="B477" s="1">
        <v>45528</v>
      </c>
      <c r="C477" t="s">
        <v>28</v>
      </c>
      <c r="D477" t="s">
        <v>21</v>
      </c>
      <c r="E477" t="s">
        <v>29</v>
      </c>
      <c r="F477" t="s">
        <v>401</v>
      </c>
      <c r="G477">
        <v>4826.8900000000003</v>
      </c>
      <c r="H477">
        <v>5</v>
      </c>
      <c r="I477">
        <v>210.35</v>
      </c>
    </row>
    <row r="478" spans="1:9" x14ac:dyDescent="0.3">
      <c r="A478" t="s">
        <v>680</v>
      </c>
      <c r="B478" s="1">
        <v>45322</v>
      </c>
      <c r="C478" t="s">
        <v>25</v>
      </c>
      <c r="D478" t="s">
        <v>11</v>
      </c>
      <c r="E478" t="s">
        <v>12</v>
      </c>
      <c r="F478" t="s">
        <v>681</v>
      </c>
      <c r="G478">
        <v>4122.09</v>
      </c>
      <c r="H478">
        <v>8</v>
      </c>
      <c r="I478">
        <v>1139.69</v>
      </c>
    </row>
    <row r="479" spans="1:9" x14ac:dyDescent="0.3">
      <c r="A479" t="s">
        <v>682</v>
      </c>
      <c r="B479" s="1">
        <v>45474</v>
      </c>
      <c r="C479" t="s">
        <v>25</v>
      </c>
      <c r="D479" t="s">
        <v>32</v>
      </c>
      <c r="E479" t="s">
        <v>39</v>
      </c>
      <c r="F479" t="s">
        <v>117</v>
      </c>
      <c r="G479">
        <v>600.09</v>
      </c>
      <c r="H479">
        <v>2</v>
      </c>
      <c r="I479">
        <v>115.6</v>
      </c>
    </row>
    <row r="480" spans="1:9" x14ac:dyDescent="0.3">
      <c r="A480" t="s">
        <v>683</v>
      </c>
      <c r="B480" s="1">
        <v>45954</v>
      </c>
      <c r="C480" t="s">
        <v>28</v>
      </c>
      <c r="D480" t="s">
        <v>32</v>
      </c>
      <c r="E480" t="s">
        <v>73</v>
      </c>
      <c r="F480" t="s">
        <v>44</v>
      </c>
      <c r="G480">
        <v>1176.26</v>
      </c>
      <c r="H480">
        <v>10</v>
      </c>
      <c r="I480">
        <v>188.2</v>
      </c>
    </row>
    <row r="481" spans="1:9" x14ac:dyDescent="0.3">
      <c r="A481" t="s">
        <v>684</v>
      </c>
      <c r="B481" s="1">
        <v>45606</v>
      </c>
      <c r="C481" t="s">
        <v>17</v>
      </c>
      <c r="D481" t="s">
        <v>32</v>
      </c>
      <c r="E481" t="s">
        <v>39</v>
      </c>
      <c r="F481" t="s">
        <v>204</v>
      </c>
      <c r="G481">
        <v>3531.93</v>
      </c>
      <c r="H481">
        <v>2</v>
      </c>
      <c r="I481">
        <v>374.03</v>
      </c>
    </row>
    <row r="482" spans="1:9" x14ac:dyDescent="0.3">
      <c r="A482" t="s">
        <v>685</v>
      </c>
      <c r="B482" s="1">
        <v>45770</v>
      </c>
      <c r="C482" t="s">
        <v>17</v>
      </c>
      <c r="D482" t="s">
        <v>32</v>
      </c>
      <c r="E482" t="s">
        <v>33</v>
      </c>
      <c r="F482" t="s">
        <v>294</v>
      </c>
      <c r="G482">
        <v>3404.39</v>
      </c>
      <c r="H482">
        <v>10</v>
      </c>
      <c r="I482">
        <v>538.59</v>
      </c>
    </row>
    <row r="483" spans="1:9" x14ac:dyDescent="0.3">
      <c r="A483" t="s">
        <v>686</v>
      </c>
      <c r="B483" s="1">
        <v>45815</v>
      </c>
      <c r="C483" t="s">
        <v>17</v>
      </c>
      <c r="D483" t="s">
        <v>21</v>
      </c>
      <c r="E483" t="s">
        <v>36</v>
      </c>
      <c r="F483" t="s">
        <v>370</v>
      </c>
      <c r="G483">
        <v>3320.57</v>
      </c>
      <c r="H483">
        <v>9</v>
      </c>
      <c r="I483">
        <v>419.41</v>
      </c>
    </row>
    <row r="484" spans="1:9" x14ac:dyDescent="0.3">
      <c r="A484" t="s">
        <v>687</v>
      </c>
      <c r="B484" s="1">
        <v>45523</v>
      </c>
      <c r="C484" t="s">
        <v>28</v>
      </c>
      <c r="D484" t="s">
        <v>11</v>
      </c>
      <c r="E484" t="s">
        <v>12</v>
      </c>
      <c r="F484" t="s">
        <v>688</v>
      </c>
      <c r="G484">
        <v>2750.27</v>
      </c>
      <c r="H484">
        <v>3</v>
      </c>
      <c r="I484">
        <v>729.59</v>
      </c>
    </row>
    <row r="485" spans="1:9" x14ac:dyDescent="0.3">
      <c r="A485" t="s">
        <v>689</v>
      </c>
      <c r="B485" s="1">
        <v>45893</v>
      </c>
      <c r="C485" t="s">
        <v>17</v>
      </c>
      <c r="D485" t="s">
        <v>11</v>
      </c>
      <c r="E485" t="s">
        <v>18</v>
      </c>
      <c r="F485" t="s">
        <v>450</v>
      </c>
      <c r="G485">
        <v>4550.42</v>
      </c>
      <c r="H485">
        <v>2</v>
      </c>
      <c r="I485">
        <v>226.57</v>
      </c>
    </row>
    <row r="486" spans="1:9" x14ac:dyDescent="0.3">
      <c r="A486" t="s">
        <v>690</v>
      </c>
      <c r="B486" s="1">
        <v>45654</v>
      </c>
      <c r="C486" t="s">
        <v>28</v>
      </c>
      <c r="D486" t="s">
        <v>32</v>
      </c>
      <c r="E486" t="s">
        <v>73</v>
      </c>
      <c r="F486" t="s">
        <v>370</v>
      </c>
      <c r="G486">
        <v>3442.04</v>
      </c>
      <c r="H486">
        <v>4</v>
      </c>
      <c r="I486">
        <v>590.91</v>
      </c>
    </row>
    <row r="487" spans="1:9" x14ac:dyDescent="0.3">
      <c r="A487" t="s">
        <v>691</v>
      </c>
      <c r="B487" s="1">
        <v>45324</v>
      </c>
      <c r="C487" t="s">
        <v>10</v>
      </c>
      <c r="D487" t="s">
        <v>32</v>
      </c>
      <c r="E487" t="s">
        <v>33</v>
      </c>
      <c r="F487" t="s">
        <v>497</v>
      </c>
      <c r="G487">
        <v>992.62</v>
      </c>
      <c r="H487">
        <v>8</v>
      </c>
      <c r="I487">
        <v>-20.85</v>
      </c>
    </row>
    <row r="488" spans="1:9" x14ac:dyDescent="0.3">
      <c r="A488" t="s">
        <v>692</v>
      </c>
      <c r="B488" s="1">
        <v>45909</v>
      </c>
      <c r="C488" t="s">
        <v>17</v>
      </c>
      <c r="D488" t="s">
        <v>11</v>
      </c>
      <c r="E488" t="s">
        <v>18</v>
      </c>
      <c r="F488" t="s">
        <v>19</v>
      </c>
      <c r="G488">
        <v>246.22</v>
      </c>
      <c r="H488">
        <v>2</v>
      </c>
      <c r="I488">
        <v>48.83</v>
      </c>
    </row>
    <row r="489" spans="1:9" x14ac:dyDescent="0.3">
      <c r="A489" t="s">
        <v>693</v>
      </c>
      <c r="B489" s="1">
        <v>45519</v>
      </c>
      <c r="C489" t="s">
        <v>17</v>
      </c>
      <c r="D489" t="s">
        <v>32</v>
      </c>
      <c r="E489" t="s">
        <v>33</v>
      </c>
      <c r="F489" t="s">
        <v>694</v>
      </c>
      <c r="G489">
        <v>1011.34</v>
      </c>
      <c r="H489">
        <v>9</v>
      </c>
      <c r="I489">
        <v>262.77</v>
      </c>
    </row>
    <row r="490" spans="1:9" x14ac:dyDescent="0.3">
      <c r="A490" t="s">
        <v>695</v>
      </c>
      <c r="B490" s="1">
        <v>45945</v>
      </c>
      <c r="C490" t="s">
        <v>28</v>
      </c>
      <c r="D490" t="s">
        <v>11</v>
      </c>
      <c r="E490" t="s">
        <v>48</v>
      </c>
      <c r="F490" t="s">
        <v>178</v>
      </c>
      <c r="G490">
        <v>1503.41</v>
      </c>
      <c r="H490">
        <v>6</v>
      </c>
      <c r="I490">
        <v>-73.08</v>
      </c>
    </row>
    <row r="491" spans="1:9" x14ac:dyDescent="0.3">
      <c r="A491" t="s">
        <v>696</v>
      </c>
      <c r="B491" s="1">
        <v>45890</v>
      </c>
      <c r="C491" t="s">
        <v>10</v>
      </c>
      <c r="D491" t="s">
        <v>21</v>
      </c>
      <c r="E491" t="s">
        <v>36</v>
      </c>
      <c r="F491" t="s">
        <v>552</v>
      </c>
      <c r="G491">
        <v>3984.99</v>
      </c>
      <c r="H491">
        <v>8</v>
      </c>
      <c r="I491">
        <v>-328.46</v>
      </c>
    </row>
    <row r="492" spans="1:9" x14ac:dyDescent="0.3">
      <c r="A492" t="s">
        <v>697</v>
      </c>
      <c r="B492" s="1">
        <v>45475</v>
      </c>
      <c r="C492" t="s">
        <v>10</v>
      </c>
      <c r="D492" t="s">
        <v>32</v>
      </c>
      <c r="E492" t="s">
        <v>39</v>
      </c>
      <c r="F492" t="s">
        <v>53</v>
      </c>
      <c r="G492">
        <v>1041.56</v>
      </c>
      <c r="H492">
        <v>2</v>
      </c>
      <c r="I492">
        <v>273.77999999999997</v>
      </c>
    </row>
    <row r="493" spans="1:9" x14ac:dyDescent="0.3">
      <c r="A493" t="s">
        <v>698</v>
      </c>
      <c r="B493" s="1">
        <v>45445</v>
      </c>
      <c r="C493" t="s">
        <v>28</v>
      </c>
      <c r="D493" t="s">
        <v>21</v>
      </c>
      <c r="E493" t="s">
        <v>22</v>
      </c>
      <c r="F493" t="s">
        <v>105</v>
      </c>
      <c r="G493">
        <v>3650.73</v>
      </c>
      <c r="H493">
        <v>2</v>
      </c>
      <c r="I493">
        <v>378.17</v>
      </c>
    </row>
    <row r="494" spans="1:9" x14ac:dyDescent="0.3">
      <c r="A494" t="s">
        <v>699</v>
      </c>
      <c r="B494" s="1">
        <v>45665</v>
      </c>
      <c r="C494" t="s">
        <v>28</v>
      </c>
      <c r="D494" t="s">
        <v>32</v>
      </c>
      <c r="E494" t="s">
        <v>39</v>
      </c>
      <c r="F494" t="s">
        <v>700</v>
      </c>
      <c r="G494">
        <v>1577.19</v>
      </c>
      <c r="H494">
        <v>10</v>
      </c>
      <c r="I494">
        <v>-126.29</v>
      </c>
    </row>
    <row r="495" spans="1:9" x14ac:dyDescent="0.3">
      <c r="A495" t="s">
        <v>701</v>
      </c>
      <c r="B495" s="1">
        <v>45417</v>
      </c>
      <c r="C495" t="s">
        <v>10</v>
      </c>
      <c r="D495" t="s">
        <v>11</v>
      </c>
      <c r="E495" t="s">
        <v>18</v>
      </c>
      <c r="F495" t="s">
        <v>357</v>
      </c>
      <c r="G495">
        <v>4687.6499999999996</v>
      </c>
      <c r="H495">
        <v>8</v>
      </c>
      <c r="I495">
        <v>222.1</v>
      </c>
    </row>
    <row r="496" spans="1:9" x14ac:dyDescent="0.3">
      <c r="A496" t="s">
        <v>702</v>
      </c>
      <c r="B496" s="1">
        <v>45297</v>
      </c>
      <c r="C496" t="s">
        <v>10</v>
      </c>
      <c r="D496" t="s">
        <v>21</v>
      </c>
      <c r="E496" t="s">
        <v>36</v>
      </c>
      <c r="F496" t="s">
        <v>160</v>
      </c>
      <c r="G496">
        <v>3709.59</v>
      </c>
      <c r="H496">
        <v>6</v>
      </c>
      <c r="I496">
        <v>-255.37</v>
      </c>
    </row>
    <row r="497" spans="1:9" x14ac:dyDescent="0.3">
      <c r="A497" t="s">
        <v>703</v>
      </c>
      <c r="B497" s="1">
        <v>45896</v>
      </c>
      <c r="C497" t="s">
        <v>10</v>
      </c>
      <c r="D497" t="s">
        <v>32</v>
      </c>
      <c r="E497" t="s">
        <v>39</v>
      </c>
      <c r="F497" t="s">
        <v>461</v>
      </c>
      <c r="G497">
        <v>4410.9399999999996</v>
      </c>
      <c r="H497">
        <v>7</v>
      </c>
      <c r="I497">
        <v>692.07</v>
      </c>
    </row>
    <row r="498" spans="1:9" x14ac:dyDescent="0.3">
      <c r="A498" t="s">
        <v>704</v>
      </c>
      <c r="B498" s="1">
        <v>46008</v>
      </c>
      <c r="C498" t="s">
        <v>25</v>
      </c>
      <c r="D498" t="s">
        <v>21</v>
      </c>
      <c r="E498" t="s">
        <v>22</v>
      </c>
      <c r="F498" t="s">
        <v>57</v>
      </c>
      <c r="G498">
        <v>383.91</v>
      </c>
      <c r="H498">
        <v>4</v>
      </c>
      <c r="I498">
        <v>115.1</v>
      </c>
    </row>
    <row r="499" spans="1:9" x14ac:dyDescent="0.3">
      <c r="A499" t="s">
        <v>705</v>
      </c>
      <c r="B499" s="1">
        <v>45773</v>
      </c>
      <c r="C499" t="s">
        <v>28</v>
      </c>
      <c r="D499" t="s">
        <v>32</v>
      </c>
      <c r="E499" t="s">
        <v>39</v>
      </c>
      <c r="F499" t="s">
        <v>232</v>
      </c>
      <c r="G499">
        <v>1782.9</v>
      </c>
      <c r="H499">
        <v>10</v>
      </c>
      <c r="I499">
        <v>-168.31</v>
      </c>
    </row>
    <row r="500" spans="1:9" x14ac:dyDescent="0.3">
      <c r="A500" t="s">
        <v>706</v>
      </c>
      <c r="B500" s="1">
        <v>45617</v>
      </c>
      <c r="C500" t="s">
        <v>10</v>
      </c>
      <c r="D500" t="s">
        <v>21</v>
      </c>
      <c r="E500" t="s">
        <v>36</v>
      </c>
      <c r="F500" t="s">
        <v>492</v>
      </c>
      <c r="G500">
        <v>4348.5600000000004</v>
      </c>
      <c r="H500">
        <v>9</v>
      </c>
      <c r="I500">
        <v>-248.59</v>
      </c>
    </row>
    <row r="501" spans="1:9" x14ac:dyDescent="0.3">
      <c r="A501" t="s">
        <v>707</v>
      </c>
      <c r="B501" s="1">
        <v>45492</v>
      </c>
      <c r="C501" t="s">
        <v>28</v>
      </c>
      <c r="D501" t="s">
        <v>11</v>
      </c>
      <c r="E501" t="s">
        <v>18</v>
      </c>
      <c r="F501" t="s">
        <v>412</v>
      </c>
      <c r="G501">
        <v>4255.84</v>
      </c>
      <c r="H501">
        <v>7</v>
      </c>
      <c r="I501">
        <v>157.65</v>
      </c>
    </row>
    <row r="502" spans="1:9" x14ac:dyDescent="0.3">
      <c r="A502" t="s">
        <v>708</v>
      </c>
      <c r="B502" s="1">
        <v>45587</v>
      </c>
      <c r="C502" t="s">
        <v>25</v>
      </c>
      <c r="D502" t="s">
        <v>21</v>
      </c>
      <c r="E502" t="s">
        <v>29</v>
      </c>
      <c r="F502" t="s">
        <v>164</v>
      </c>
      <c r="G502">
        <v>3059.19</v>
      </c>
      <c r="H502">
        <v>7</v>
      </c>
      <c r="I502">
        <v>729.55</v>
      </c>
    </row>
    <row r="503" spans="1:9" x14ac:dyDescent="0.3">
      <c r="A503" t="s">
        <v>709</v>
      </c>
      <c r="B503" s="1">
        <v>45951</v>
      </c>
      <c r="C503" t="s">
        <v>17</v>
      </c>
      <c r="D503" t="s">
        <v>21</v>
      </c>
      <c r="E503" t="s">
        <v>29</v>
      </c>
      <c r="F503" t="s">
        <v>288</v>
      </c>
      <c r="G503">
        <v>96.35</v>
      </c>
      <c r="H503">
        <v>10</v>
      </c>
      <c r="I503">
        <v>-9.35</v>
      </c>
    </row>
    <row r="504" spans="1:9" x14ac:dyDescent="0.3">
      <c r="A504" t="s">
        <v>710</v>
      </c>
      <c r="B504" s="1">
        <v>45523</v>
      </c>
      <c r="C504" t="s">
        <v>17</v>
      </c>
      <c r="D504" t="s">
        <v>11</v>
      </c>
      <c r="E504" t="s">
        <v>18</v>
      </c>
      <c r="F504" t="s">
        <v>711</v>
      </c>
      <c r="G504">
        <v>1439.43</v>
      </c>
      <c r="H504">
        <v>8</v>
      </c>
      <c r="I504">
        <v>185.38</v>
      </c>
    </row>
    <row r="505" spans="1:9" x14ac:dyDescent="0.3">
      <c r="A505" t="s">
        <v>712</v>
      </c>
      <c r="B505" s="1">
        <v>45438</v>
      </c>
      <c r="C505" t="s">
        <v>10</v>
      </c>
      <c r="D505" t="s">
        <v>11</v>
      </c>
      <c r="E505" t="s">
        <v>12</v>
      </c>
      <c r="F505" t="s">
        <v>51</v>
      </c>
      <c r="G505">
        <v>3010.12</v>
      </c>
      <c r="H505">
        <v>2</v>
      </c>
      <c r="I505">
        <v>364.65</v>
      </c>
    </row>
    <row r="506" spans="1:9" x14ac:dyDescent="0.3">
      <c r="A506" t="s">
        <v>713</v>
      </c>
      <c r="B506" s="1">
        <v>45708</v>
      </c>
      <c r="C506" t="s">
        <v>28</v>
      </c>
      <c r="D506" t="s">
        <v>11</v>
      </c>
      <c r="E506" t="s">
        <v>48</v>
      </c>
      <c r="F506" t="s">
        <v>121</v>
      </c>
      <c r="G506">
        <v>223.93</v>
      </c>
      <c r="H506">
        <v>3</v>
      </c>
      <c r="I506">
        <v>20.39</v>
      </c>
    </row>
    <row r="507" spans="1:9" x14ac:dyDescent="0.3">
      <c r="A507" t="s">
        <v>714</v>
      </c>
      <c r="B507" s="1">
        <v>45812</v>
      </c>
      <c r="C507" t="s">
        <v>10</v>
      </c>
      <c r="D507" t="s">
        <v>32</v>
      </c>
      <c r="E507" t="s">
        <v>39</v>
      </c>
      <c r="F507" t="s">
        <v>13</v>
      </c>
      <c r="G507">
        <v>3490.21</v>
      </c>
      <c r="H507">
        <v>9</v>
      </c>
      <c r="I507">
        <v>587.27</v>
      </c>
    </row>
    <row r="508" spans="1:9" x14ac:dyDescent="0.3">
      <c r="A508" t="s">
        <v>715</v>
      </c>
      <c r="B508" s="1">
        <v>45626</v>
      </c>
      <c r="C508" t="s">
        <v>28</v>
      </c>
      <c r="D508" t="s">
        <v>21</v>
      </c>
      <c r="E508" t="s">
        <v>36</v>
      </c>
      <c r="F508" t="s">
        <v>84</v>
      </c>
      <c r="G508">
        <v>4866.33</v>
      </c>
      <c r="H508">
        <v>9</v>
      </c>
      <c r="I508">
        <v>186.83</v>
      </c>
    </row>
    <row r="509" spans="1:9" x14ac:dyDescent="0.3">
      <c r="A509" t="s">
        <v>716</v>
      </c>
      <c r="B509" s="1">
        <v>45593</v>
      </c>
      <c r="C509" t="s">
        <v>28</v>
      </c>
      <c r="D509" t="s">
        <v>11</v>
      </c>
      <c r="E509" t="s">
        <v>12</v>
      </c>
      <c r="F509" t="s">
        <v>23</v>
      </c>
      <c r="G509">
        <v>2888.62</v>
      </c>
      <c r="H509">
        <v>7</v>
      </c>
      <c r="I509">
        <v>-271.79000000000002</v>
      </c>
    </row>
    <row r="510" spans="1:9" x14ac:dyDescent="0.3">
      <c r="A510" t="s">
        <v>717</v>
      </c>
      <c r="B510" s="1">
        <v>45771</v>
      </c>
      <c r="C510" t="s">
        <v>28</v>
      </c>
      <c r="D510" t="s">
        <v>21</v>
      </c>
      <c r="E510" t="s">
        <v>22</v>
      </c>
      <c r="F510" t="s">
        <v>232</v>
      </c>
      <c r="G510">
        <v>4994.58</v>
      </c>
      <c r="H510">
        <v>5</v>
      </c>
      <c r="I510">
        <v>785.67</v>
      </c>
    </row>
    <row r="511" spans="1:9" x14ac:dyDescent="0.3">
      <c r="A511" t="s">
        <v>718</v>
      </c>
      <c r="B511" s="1">
        <v>45856</v>
      </c>
      <c r="C511" t="s">
        <v>28</v>
      </c>
      <c r="D511" t="s">
        <v>21</v>
      </c>
      <c r="E511" t="s">
        <v>36</v>
      </c>
      <c r="F511" t="s">
        <v>368</v>
      </c>
      <c r="G511">
        <v>3773.87</v>
      </c>
      <c r="H511">
        <v>7</v>
      </c>
      <c r="I511">
        <v>254.78</v>
      </c>
    </row>
    <row r="512" spans="1:9" x14ac:dyDescent="0.3">
      <c r="A512" t="s">
        <v>719</v>
      </c>
      <c r="B512" s="1">
        <v>45536</v>
      </c>
      <c r="C512" t="s">
        <v>17</v>
      </c>
      <c r="D512" t="s">
        <v>32</v>
      </c>
      <c r="E512" t="s">
        <v>39</v>
      </c>
      <c r="F512" t="s">
        <v>209</v>
      </c>
      <c r="G512">
        <v>4713.71</v>
      </c>
      <c r="H512">
        <v>10</v>
      </c>
      <c r="I512">
        <v>202.12</v>
      </c>
    </row>
    <row r="513" spans="1:9" x14ac:dyDescent="0.3">
      <c r="A513" t="s">
        <v>720</v>
      </c>
      <c r="B513" s="1">
        <v>45519</v>
      </c>
      <c r="C513" t="s">
        <v>10</v>
      </c>
      <c r="D513" t="s">
        <v>32</v>
      </c>
      <c r="E513" t="s">
        <v>73</v>
      </c>
      <c r="F513" t="s">
        <v>721</v>
      </c>
      <c r="G513">
        <v>829.3</v>
      </c>
      <c r="H513">
        <v>7</v>
      </c>
      <c r="I513">
        <v>167.82</v>
      </c>
    </row>
    <row r="514" spans="1:9" x14ac:dyDescent="0.3">
      <c r="A514" t="s">
        <v>722</v>
      </c>
      <c r="B514" s="1">
        <v>45837</v>
      </c>
      <c r="C514" t="s">
        <v>17</v>
      </c>
      <c r="D514" t="s">
        <v>21</v>
      </c>
      <c r="E514" t="s">
        <v>36</v>
      </c>
      <c r="F514" t="s">
        <v>80</v>
      </c>
      <c r="G514">
        <v>1861.3</v>
      </c>
      <c r="H514">
        <v>5</v>
      </c>
      <c r="I514">
        <v>-133.22999999999999</v>
      </c>
    </row>
    <row r="515" spans="1:9" x14ac:dyDescent="0.3">
      <c r="A515" t="s">
        <v>723</v>
      </c>
      <c r="B515" s="1">
        <v>45844</v>
      </c>
      <c r="C515" t="s">
        <v>25</v>
      </c>
      <c r="D515" t="s">
        <v>21</v>
      </c>
      <c r="E515" t="s">
        <v>22</v>
      </c>
      <c r="F515" t="s">
        <v>368</v>
      </c>
      <c r="G515">
        <v>2576.6</v>
      </c>
      <c r="H515">
        <v>6</v>
      </c>
      <c r="I515">
        <v>525.05999999999995</v>
      </c>
    </row>
    <row r="516" spans="1:9" x14ac:dyDescent="0.3">
      <c r="A516" t="s">
        <v>724</v>
      </c>
      <c r="B516" s="1">
        <v>45544</v>
      </c>
      <c r="C516" t="s">
        <v>17</v>
      </c>
      <c r="D516" t="s">
        <v>21</v>
      </c>
      <c r="E516" t="s">
        <v>29</v>
      </c>
      <c r="F516" t="s">
        <v>154</v>
      </c>
      <c r="G516">
        <v>909.82</v>
      </c>
      <c r="H516">
        <v>9</v>
      </c>
      <c r="I516">
        <v>134.59</v>
      </c>
    </row>
    <row r="517" spans="1:9" x14ac:dyDescent="0.3">
      <c r="A517" t="s">
        <v>725</v>
      </c>
      <c r="B517" s="1">
        <v>45471</v>
      </c>
      <c r="C517" t="s">
        <v>25</v>
      </c>
      <c r="D517" t="s">
        <v>32</v>
      </c>
      <c r="E517" t="s">
        <v>33</v>
      </c>
      <c r="F517" t="s">
        <v>121</v>
      </c>
      <c r="G517">
        <v>4156.2299999999996</v>
      </c>
      <c r="H517">
        <v>9</v>
      </c>
      <c r="I517">
        <v>810.77</v>
      </c>
    </row>
    <row r="518" spans="1:9" x14ac:dyDescent="0.3">
      <c r="A518" t="s">
        <v>726</v>
      </c>
      <c r="B518" s="1">
        <v>45331</v>
      </c>
      <c r="C518" t="s">
        <v>17</v>
      </c>
      <c r="D518" t="s">
        <v>32</v>
      </c>
      <c r="E518" t="s">
        <v>73</v>
      </c>
      <c r="F518" t="s">
        <v>298</v>
      </c>
      <c r="G518">
        <v>691.21</v>
      </c>
      <c r="H518">
        <v>2</v>
      </c>
      <c r="I518">
        <v>91.44</v>
      </c>
    </row>
    <row r="519" spans="1:9" x14ac:dyDescent="0.3">
      <c r="A519" t="s">
        <v>727</v>
      </c>
      <c r="B519" s="1">
        <v>45403</v>
      </c>
      <c r="C519" t="s">
        <v>25</v>
      </c>
      <c r="D519" t="s">
        <v>11</v>
      </c>
      <c r="E519" t="s">
        <v>18</v>
      </c>
      <c r="F519" t="s">
        <v>164</v>
      </c>
      <c r="G519">
        <v>3309.83</v>
      </c>
      <c r="H519">
        <v>1</v>
      </c>
      <c r="I519">
        <v>485.98</v>
      </c>
    </row>
    <row r="520" spans="1:9" x14ac:dyDescent="0.3">
      <c r="A520" t="s">
        <v>728</v>
      </c>
      <c r="B520" s="1">
        <v>45797</v>
      </c>
      <c r="C520" t="s">
        <v>17</v>
      </c>
      <c r="D520" t="s">
        <v>32</v>
      </c>
      <c r="E520" t="s">
        <v>39</v>
      </c>
      <c r="F520" t="s">
        <v>711</v>
      </c>
      <c r="G520">
        <v>611.05999999999995</v>
      </c>
      <c r="H520">
        <v>5</v>
      </c>
      <c r="I520">
        <v>54.18</v>
      </c>
    </row>
    <row r="521" spans="1:9" x14ac:dyDescent="0.3">
      <c r="A521" t="s">
        <v>729</v>
      </c>
      <c r="B521" s="1">
        <v>45642</v>
      </c>
      <c r="C521" t="s">
        <v>28</v>
      </c>
      <c r="D521" t="s">
        <v>21</v>
      </c>
      <c r="E521" t="s">
        <v>22</v>
      </c>
      <c r="F521" t="s">
        <v>340</v>
      </c>
      <c r="G521">
        <v>4314.7299999999996</v>
      </c>
      <c r="H521">
        <v>2</v>
      </c>
      <c r="I521">
        <v>-298.70999999999998</v>
      </c>
    </row>
    <row r="522" spans="1:9" x14ac:dyDescent="0.3">
      <c r="A522" t="s">
        <v>730</v>
      </c>
      <c r="B522" s="1">
        <v>45363</v>
      </c>
      <c r="C522" t="s">
        <v>17</v>
      </c>
      <c r="D522" t="s">
        <v>32</v>
      </c>
      <c r="E522" t="s">
        <v>33</v>
      </c>
      <c r="F522" t="s">
        <v>643</v>
      </c>
      <c r="G522">
        <v>2218.98</v>
      </c>
      <c r="H522">
        <v>4</v>
      </c>
      <c r="I522">
        <v>-99.3</v>
      </c>
    </row>
    <row r="523" spans="1:9" x14ac:dyDescent="0.3">
      <c r="A523" t="s">
        <v>731</v>
      </c>
      <c r="B523" s="1">
        <v>45360</v>
      </c>
      <c r="C523" t="s">
        <v>17</v>
      </c>
      <c r="D523" t="s">
        <v>21</v>
      </c>
      <c r="E523" t="s">
        <v>22</v>
      </c>
      <c r="F523" t="s">
        <v>732</v>
      </c>
      <c r="G523">
        <v>4287.57</v>
      </c>
      <c r="H523">
        <v>10</v>
      </c>
      <c r="I523">
        <v>383.65</v>
      </c>
    </row>
    <row r="524" spans="1:9" x14ac:dyDescent="0.3">
      <c r="A524" t="s">
        <v>733</v>
      </c>
      <c r="B524" s="1">
        <v>45408</v>
      </c>
      <c r="C524" t="s">
        <v>10</v>
      </c>
      <c r="D524" t="s">
        <v>32</v>
      </c>
      <c r="E524" t="s">
        <v>33</v>
      </c>
      <c r="F524" t="s">
        <v>329</v>
      </c>
      <c r="G524">
        <v>2536.46</v>
      </c>
      <c r="H524">
        <v>4</v>
      </c>
      <c r="I524">
        <v>-158.44999999999999</v>
      </c>
    </row>
    <row r="525" spans="1:9" x14ac:dyDescent="0.3">
      <c r="A525" t="s">
        <v>734</v>
      </c>
      <c r="B525" s="1">
        <v>45570</v>
      </c>
      <c r="C525" t="s">
        <v>10</v>
      </c>
      <c r="D525" t="s">
        <v>32</v>
      </c>
      <c r="E525" t="s">
        <v>33</v>
      </c>
      <c r="F525" t="s">
        <v>735</v>
      </c>
      <c r="G525">
        <v>4170.8999999999996</v>
      </c>
      <c r="H525">
        <v>6</v>
      </c>
      <c r="I525">
        <v>968.39</v>
      </c>
    </row>
    <row r="526" spans="1:9" x14ac:dyDescent="0.3">
      <c r="A526" t="s">
        <v>736</v>
      </c>
      <c r="B526" s="1">
        <v>45335</v>
      </c>
      <c r="C526" t="s">
        <v>25</v>
      </c>
      <c r="D526" t="s">
        <v>32</v>
      </c>
      <c r="E526" t="s">
        <v>73</v>
      </c>
      <c r="F526" t="s">
        <v>368</v>
      </c>
      <c r="G526">
        <v>2530.9699999999998</v>
      </c>
      <c r="H526">
        <v>9</v>
      </c>
      <c r="I526">
        <v>-84.6</v>
      </c>
    </row>
    <row r="527" spans="1:9" x14ac:dyDescent="0.3">
      <c r="A527" t="s">
        <v>737</v>
      </c>
      <c r="B527" s="1">
        <v>45869</v>
      </c>
      <c r="C527" t="s">
        <v>10</v>
      </c>
      <c r="D527" t="s">
        <v>11</v>
      </c>
      <c r="E527" t="s">
        <v>18</v>
      </c>
      <c r="F527" t="s">
        <v>95</v>
      </c>
      <c r="G527">
        <v>1991.37</v>
      </c>
      <c r="H527">
        <v>7</v>
      </c>
      <c r="I527">
        <v>-172.39</v>
      </c>
    </row>
    <row r="528" spans="1:9" x14ac:dyDescent="0.3">
      <c r="A528" t="s">
        <v>738</v>
      </c>
      <c r="B528" s="1">
        <v>45692</v>
      </c>
      <c r="C528" t="s">
        <v>25</v>
      </c>
      <c r="D528" t="s">
        <v>32</v>
      </c>
      <c r="E528" t="s">
        <v>39</v>
      </c>
      <c r="F528" t="s">
        <v>195</v>
      </c>
      <c r="G528">
        <v>3841.14</v>
      </c>
      <c r="H528">
        <v>7</v>
      </c>
      <c r="I528">
        <v>1117.1300000000001</v>
      </c>
    </row>
    <row r="529" spans="1:9" x14ac:dyDescent="0.3">
      <c r="A529" t="s">
        <v>739</v>
      </c>
      <c r="B529" s="1">
        <v>45353</v>
      </c>
      <c r="C529" t="s">
        <v>10</v>
      </c>
      <c r="D529" t="s">
        <v>21</v>
      </c>
      <c r="E529" t="s">
        <v>36</v>
      </c>
      <c r="F529" t="s">
        <v>190</v>
      </c>
      <c r="G529">
        <v>1810.75</v>
      </c>
      <c r="H529">
        <v>9</v>
      </c>
      <c r="I529">
        <v>507.06</v>
      </c>
    </row>
    <row r="530" spans="1:9" x14ac:dyDescent="0.3">
      <c r="A530" t="s">
        <v>740</v>
      </c>
      <c r="B530" s="1">
        <v>45495</v>
      </c>
      <c r="C530" t="s">
        <v>10</v>
      </c>
      <c r="D530" t="s">
        <v>11</v>
      </c>
      <c r="E530" t="s">
        <v>12</v>
      </c>
      <c r="F530" t="s">
        <v>443</v>
      </c>
      <c r="G530">
        <v>4644.05</v>
      </c>
      <c r="H530">
        <v>4</v>
      </c>
      <c r="I530">
        <v>297.72000000000003</v>
      </c>
    </row>
    <row r="531" spans="1:9" x14ac:dyDescent="0.3">
      <c r="A531" t="s">
        <v>741</v>
      </c>
      <c r="B531" s="1">
        <v>45809</v>
      </c>
      <c r="C531" t="s">
        <v>10</v>
      </c>
      <c r="D531" t="s">
        <v>11</v>
      </c>
      <c r="E531" t="s">
        <v>12</v>
      </c>
      <c r="F531" t="s">
        <v>357</v>
      </c>
      <c r="G531">
        <v>3644.32</v>
      </c>
      <c r="H531">
        <v>5</v>
      </c>
      <c r="I531">
        <v>67.48</v>
      </c>
    </row>
    <row r="532" spans="1:9" x14ac:dyDescent="0.3">
      <c r="A532" t="s">
        <v>742</v>
      </c>
      <c r="B532" s="1">
        <v>45668</v>
      </c>
      <c r="C532" t="s">
        <v>25</v>
      </c>
      <c r="D532" t="s">
        <v>21</v>
      </c>
      <c r="E532" t="s">
        <v>36</v>
      </c>
      <c r="F532" t="s">
        <v>647</v>
      </c>
      <c r="G532">
        <v>2620.6799999999998</v>
      </c>
      <c r="H532">
        <v>3</v>
      </c>
      <c r="I532">
        <v>-127.22</v>
      </c>
    </row>
    <row r="533" spans="1:9" x14ac:dyDescent="0.3">
      <c r="A533" t="s">
        <v>743</v>
      </c>
      <c r="B533" s="1">
        <v>45952</v>
      </c>
      <c r="C533" t="s">
        <v>28</v>
      </c>
      <c r="D533" t="s">
        <v>11</v>
      </c>
      <c r="E533" t="s">
        <v>12</v>
      </c>
      <c r="F533" t="s">
        <v>480</v>
      </c>
      <c r="G533">
        <v>641.84</v>
      </c>
      <c r="H533">
        <v>2</v>
      </c>
      <c r="I533">
        <v>166.9</v>
      </c>
    </row>
    <row r="534" spans="1:9" x14ac:dyDescent="0.3">
      <c r="A534" t="s">
        <v>744</v>
      </c>
      <c r="B534" s="1">
        <v>45819</v>
      </c>
      <c r="C534" t="s">
        <v>28</v>
      </c>
      <c r="D534" t="s">
        <v>11</v>
      </c>
      <c r="E534" t="s">
        <v>48</v>
      </c>
      <c r="F534" t="s">
        <v>353</v>
      </c>
      <c r="G534">
        <v>4327.3599999999997</v>
      </c>
      <c r="H534">
        <v>9</v>
      </c>
      <c r="I534">
        <v>727.4</v>
      </c>
    </row>
    <row r="535" spans="1:9" x14ac:dyDescent="0.3">
      <c r="A535" t="s">
        <v>745</v>
      </c>
      <c r="B535" s="1">
        <v>45988</v>
      </c>
      <c r="C535" t="s">
        <v>10</v>
      </c>
      <c r="D535" t="s">
        <v>11</v>
      </c>
      <c r="E535" t="s">
        <v>48</v>
      </c>
      <c r="F535" t="s">
        <v>192</v>
      </c>
      <c r="G535">
        <v>1502.1</v>
      </c>
      <c r="H535">
        <v>7</v>
      </c>
      <c r="I535">
        <v>71.790000000000006</v>
      </c>
    </row>
    <row r="536" spans="1:9" x14ac:dyDescent="0.3">
      <c r="A536" t="s">
        <v>746</v>
      </c>
      <c r="B536" s="1">
        <v>45541</v>
      </c>
      <c r="C536" t="s">
        <v>25</v>
      </c>
      <c r="D536" t="s">
        <v>11</v>
      </c>
      <c r="E536" t="s">
        <v>12</v>
      </c>
      <c r="F536" t="s">
        <v>129</v>
      </c>
      <c r="G536">
        <v>2674.96</v>
      </c>
      <c r="H536">
        <v>1</v>
      </c>
      <c r="I536">
        <v>357.07</v>
      </c>
    </row>
    <row r="537" spans="1:9" x14ac:dyDescent="0.3">
      <c r="A537" t="s">
        <v>747</v>
      </c>
      <c r="B537" s="1">
        <v>45989</v>
      </c>
      <c r="C537" t="s">
        <v>10</v>
      </c>
      <c r="D537" t="s">
        <v>21</v>
      </c>
      <c r="E537" t="s">
        <v>36</v>
      </c>
      <c r="F537" t="s">
        <v>475</v>
      </c>
      <c r="G537">
        <v>3724.32</v>
      </c>
      <c r="H537">
        <v>9</v>
      </c>
      <c r="I537">
        <v>905.29</v>
      </c>
    </row>
    <row r="538" spans="1:9" x14ac:dyDescent="0.3">
      <c r="A538" t="s">
        <v>748</v>
      </c>
      <c r="B538" s="1">
        <v>45868</v>
      </c>
      <c r="C538" t="s">
        <v>25</v>
      </c>
      <c r="D538" t="s">
        <v>11</v>
      </c>
      <c r="E538" t="s">
        <v>18</v>
      </c>
      <c r="F538" t="s">
        <v>180</v>
      </c>
      <c r="G538">
        <v>2571.58</v>
      </c>
      <c r="H538">
        <v>10</v>
      </c>
      <c r="I538">
        <v>445.69</v>
      </c>
    </row>
    <row r="539" spans="1:9" x14ac:dyDescent="0.3">
      <c r="A539" t="s">
        <v>749</v>
      </c>
      <c r="B539" s="1">
        <v>45651</v>
      </c>
      <c r="C539" t="s">
        <v>17</v>
      </c>
      <c r="D539" t="s">
        <v>11</v>
      </c>
      <c r="E539" t="s">
        <v>48</v>
      </c>
      <c r="F539" t="s">
        <v>127</v>
      </c>
      <c r="G539">
        <v>3369.52</v>
      </c>
      <c r="H539">
        <v>3</v>
      </c>
      <c r="I539">
        <v>961.15</v>
      </c>
    </row>
    <row r="540" spans="1:9" x14ac:dyDescent="0.3">
      <c r="A540" t="s">
        <v>750</v>
      </c>
      <c r="B540" s="1">
        <v>45296</v>
      </c>
      <c r="C540" t="s">
        <v>17</v>
      </c>
      <c r="D540" t="s">
        <v>11</v>
      </c>
      <c r="E540" t="s">
        <v>48</v>
      </c>
      <c r="F540" t="s">
        <v>459</v>
      </c>
      <c r="G540">
        <v>3960.57</v>
      </c>
      <c r="H540">
        <v>10</v>
      </c>
      <c r="I540">
        <v>-259.97000000000003</v>
      </c>
    </row>
    <row r="541" spans="1:9" x14ac:dyDescent="0.3">
      <c r="A541" t="s">
        <v>751</v>
      </c>
      <c r="B541" s="1">
        <v>45370</v>
      </c>
      <c r="C541" t="s">
        <v>17</v>
      </c>
      <c r="D541" t="s">
        <v>32</v>
      </c>
      <c r="E541" t="s">
        <v>73</v>
      </c>
      <c r="F541" t="s">
        <v>154</v>
      </c>
      <c r="G541">
        <v>4904.97</v>
      </c>
      <c r="H541">
        <v>9</v>
      </c>
      <c r="I541">
        <v>252.09</v>
      </c>
    </row>
    <row r="542" spans="1:9" x14ac:dyDescent="0.3">
      <c r="A542" t="s">
        <v>752</v>
      </c>
      <c r="B542" s="1">
        <v>45663</v>
      </c>
      <c r="C542" t="s">
        <v>28</v>
      </c>
      <c r="D542" t="s">
        <v>32</v>
      </c>
      <c r="E542" t="s">
        <v>33</v>
      </c>
      <c r="F542" t="s">
        <v>68</v>
      </c>
      <c r="G542">
        <v>1802.86</v>
      </c>
      <c r="H542">
        <v>4</v>
      </c>
      <c r="I542">
        <v>19.03</v>
      </c>
    </row>
    <row r="543" spans="1:9" x14ac:dyDescent="0.3">
      <c r="A543" t="s">
        <v>753</v>
      </c>
      <c r="B543" s="1">
        <v>45762</v>
      </c>
      <c r="C543" t="s">
        <v>25</v>
      </c>
      <c r="D543" t="s">
        <v>11</v>
      </c>
      <c r="E543" t="s">
        <v>18</v>
      </c>
      <c r="F543" t="s">
        <v>63</v>
      </c>
      <c r="G543">
        <v>3538.97</v>
      </c>
      <c r="H543">
        <v>9</v>
      </c>
      <c r="I543">
        <v>-206.44</v>
      </c>
    </row>
    <row r="544" spans="1:9" x14ac:dyDescent="0.3">
      <c r="A544" t="s">
        <v>754</v>
      </c>
      <c r="B544" s="1">
        <v>45606</v>
      </c>
      <c r="C544" t="s">
        <v>10</v>
      </c>
      <c r="D544" t="s">
        <v>32</v>
      </c>
      <c r="E544" t="s">
        <v>73</v>
      </c>
      <c r="F544" t="s">
        <v>424</v>
      </c>
      <c r="G544">
        <v>3209.3</v>
      </c>
      <c r="H544">
        <v>2</v>
      </c>
      <c r="I544">
        <v>824.59</v>
      </c>
    </row>
    <row r="545" spans="1:9" x14ac:dyDescent="0.3">
      <c r="A545" t="s">
        <v>755</v>
      </c>
      <c r="B545" s="1">
        <v>45329</v>
      </c>
      <c r="C545" t="s">
        <v>17</v>
      </c>
      <c r="D545" t="s">
        <v>11</v>
      </c>
      <c r="E545" t="s">
        <v>12</v>
      </c>
      <c r="F545" t="s">
        <v>688</v>
      </c>
      <c r="G545">
        <v>2138.2600000000002</v>
      </c>
      <c r="H545">
        <v>4</v>
      </c>
      <c r="I545">
        <v>39.56</v>
      </c>
    </row>
    <row r="546" spans="1:9" x14ac:dyDescent="0.3">
      <c r="A546" t="s">
        <v>756</v>
      </c>
      <c r="B546" s="1">
        <v>45358</v>
      </c>
      <c r="C546" t="s">
        <v>28</v>
      </c>
      <c r="D546" t="s">
        <v>11</v>
      </c>
      <c r="E546" t="s">
        <v>48</v>
      </c>
      <c r="F546" t="s">
        <v>78</v>
      </c>
      <c r="G546">
        <v>1421.27</v>
      </c>
      <c r="H546">
        <v>4</v>
      </c>
      <c r="I546">
        <v>177.93</v>
      </c>
    </row>
    <row r="547" spans="1:9" x14ac:dyDescent="0.3">
      <c r="A547" t="s">
        <v>757</v>
      </c>
      <c r="B547" s="1">
        <v>45741</v>
      </c>
      <c r="C547" t="s">
        <v>25</v>
      </c>
      <c r="D547" t="s">
        <v>32</v>
      </c>
      <c r="E547" t="s">
        <v>39</v>
      </c>
      <c r="F547" t="s">
        <v>477</v>
      </c>
      <c r="G547">
        <v>3914.09</v>
      </c>
      <c r="H547">
        <v>6</v>
      </c>
      <c r="I547">
        <v>318.06</v>
      </c>
    </row>
    <row r="548" spans="1:9" x14ac:dyDescent="0.3">
      <c r="A548" t="s">
        <v>758</v>
      </c>
      <c r="B548" s="1">
        <v>45836</v>
      </c>
      <c r="C548" t="s">
        <v>10</v>
      </c>
      <c r="D548" t="s">
        <v>32</v>
      </c>
      <c r="E548" t="s">
        <v>73</v>
      </c>
      <c r="F548" t="s">
        <v>461</v>
      </c>
      <c r="G548">
        <v>2279.91</v>
      </c>
      <c r="H548">
        <v>1</v>
      </c>
      <c r="I548">
        <v>26.13</v>
      </c>
    </row>
    <row r="549" spans="1:9" x14ac:dyDescent="0.3">
      <c r="A549" t="s">
        <v>759</v>
      </c>
      <c r="B549" s="1">
        <v>45798</v>
      </c>
      <c r="C549" t="s">
        <v>28</v>
      </c>
      <c r="D549" t="s">
        <v>11</v>
      </c>
      <c r="E549" t="s">
        <v>18</v>
      </c>
      <c r="F549" t="s">
        <v>26</v>
      </c>
      <c r="G549">
        <v>1116.07</v>
      </c>
      <c r="H549">
        <v>9</v>
      </c>
      <c r="I549">
        <v>-42.65</v>
      </c>
    </row>
    <row r="550" spans="1:9" x14ac:dyDescent="0.3">
      <c r="A550" t="s">
        <v>760</v>
      </c>
      <c r="B550" s="1">
        <v>46010</v>
      </c>
      <c r="C550" t="s">
        <v>10</v>
      </c>
      <c r="D550" t="s">
        <v>11</v>
      </c>
      <c r="E550" t="s">
        <v>18</v>
      </c>
      <c r="F550" t="s">
        <v>44</v>
      </c>
      <c r="G550">
        <v>4522.12</v>
      </c>
      <c r="H550">
        <v>1</v>
      </c>
      <c r="I550">
        <v>738.09</v>
      </c>
    </row>
    <row r="551" spans="1:9" x14ac:dyDescent="0.3">
      <c r="A551" t="s">
        <v>761</v>
      </c>
      <c r="B551" s="1">
        <v>45446</v>
      </c>
      <c r="C551" t="s">
        <v>17</v>
      </c>
      <c r="D551" t="s">
        <v>21</v>
      </c>
      <c r="E551" t="s">
        <v>22</v>
      </c>
      <c r="F551" t="s">
        <v>497</v>
      </c>
      <c r="G551">
        <v>3073.18</v>
      </c>
      <c r="H551">
        <v>5</v>
      </c>
      <c r="I551">
        <v>-134.13999999999999</v>
      </c>
    </row>
    <row r="552" spans="1:9" x14ac:dyDescent="0.3">
      <c r="A552" t="s">
        <v>762</v>
      </c>
      <c r="B552" s="1">
        <v>45472</v>
      </c>
      <c r="C552" t="s">
        <v>17</v>
      </c>
      <c r="D552" t="s">
        <v>11</v>
      </c>
      <c r="E552" t="s">
        <v>18</v>
      </c>
      <c r="F552" t="s">
        <v>576</v>
      </c>
      <c r="G552">
        <v>146.75</v>
      </c>
      <c r="H552">
        <v>6</v>
      </c>
      <c r="I552">
        <v>24.97</v>
      </c>
    </row>
    <row r="553" spans="1:9" x14ac:dyDescent="0.3">
      <c r="A553" t="s">
        <v>763</v>
      </c>
      <c r="B553" s="1">
        <v>45655</v>
      </c>
      <c r="C553" t="s">
        <v>28</v>
      </c>
      <c r="D553" t="s">
        <v>32</v>
      </c>
      <c r="E553" t="s">
        <v>33</v>
      </c>
      <c r="F553" t="s">
        <v>764</v>
      </c>
      <c r="G553">
        <v>1931.48</v>
      </c>
      <c r="H553">
        <v>8</v>
      </c>
      <c r="I553">
        <v>478.9</v>
      </c>
    </row>
    <row r="554" spans="1:9" x14ac:dyDescent="0.3">
      <c r="A554" t="s">
        <v>765</v>
      </c>
      <c r="B554" s="1">
        <v>45390</v>
      </c>
      <c r="C554" t="s">
        <v>25</v>
      </c>
      <c r="D554" t="s">
        <v>32</v>
      </c>
      <c r="E554" t="s">
        <v>73</v>
      </c>
      <c r="F554" t="s">
        <v>129</v>
      </c>
      <c r="G554">
        <v>2030.92</v>
      </c>
      <c r="H554">
        <v>9</v>
      </c>
      <c r="I554">
        <v>-89.41</v>
      </c>
    </row>
    <row r="555" spans="1:9" x14ac:dyDescent="0.3">
      <c r="A555" t="s">
        <v>766</v>
      </c>
      <c r="B555" s="1">
        <v>45381</v>
      </c>
      <c r="C555" t="s">
        <v>17</v>
      </c>
      <c r="D555" t="s">
        <v>11</v>
      </c>
      <c r="E555" t="s">
        <v>48</v>
      </c>
      <c r="F555" t="s">
        <v>767</v>
      </c>
      <c r="G555">
        <v>2046.89</v>
      </c>
      <c r="H555">
        <v>5</v>
      </c>
      <c r="I555">
        <v>370.34</v>
      </c>
    </row>
    <row r="556" spans="1:9" x14ac:dyDescent="0.3">
      <c r="A556" t="s">
        <v>768</v>
      </c>
      <c r="B556" s="1">
        <v>45641</v>
      </c>
      <c r="C556" t="s">
        <v>17</v>
      </c>
      <c r="D556" t="s">
        <v>32</v>
      </c>
      <c r="E556" t="s">
        <v>39</v>
      </c>
      <c r="F556" t="s">
        <v>769</v>
      </c>
      <c r="G556">
        <v>1641.91</v>
      </c>
      <c r="H556">
        <v>1</v>
      </c>
      <c r="I556">
        <v>393.21</v>
      </c>
    </row>
    <row r="557" spans="1:9" x14ac:dyDescent="0.3">
      <c r="A557" t="s">
        <v>770</v>
      </c>
      <c r="B557" s="1">
        <v>45494</v>
      </c>
      <c r="C557" t="s">
        <v>25</v>
      </c>
      <c r="D557" t="s">
        <v>21</v>
      </c>
      <c r="E557" t="s">
        <v>29</v>
      </c>
      <c r="F557" t="s">
        <v>764</v>
      </c>
      <c r="G557">
        <v>1630.76</v>
      </c>
      <c r="H557">
        <v>4</v>
      </c>
      <c r="I557">
        <v>101.74</v>
      </c>
    </row>
    <row r="558" spans="1:9" x14ac:dyDescent="0.3">
      <c r="A558" t="s">
        <v>771</v>
      </c>
      <c r="B558" s="1">
        <v>45873</v>
      </c>
      <c r="C558" t="s">
        <v>25</v>
      </c>
      <c r="D558" t="s">
        <v>11</v>
      </c>
      <c r="E558" t="s">
        <v>48</v>
      </c>
      <c r="F558" t="s">
        <v>772</v>
      </c>
      <c r="G558">
        <v>4897.37</v>
      </c>
      <c r="H558">
        <v>1</v>
      </c>
      <c r="I558">
        <v>1280.57</v>
      </c>
    </row>
    <row r="559" spans="1:9" x14ac:dyDescent="0.3">
      <c r="A559" t="s">
        <v>773</v>
      </c>
      <c r="B559" s="1">
        <v>45747</v>
      </c>
      <c r="C559" t="s">
        <v>10</v>
      </c>
      <c r="D559" t="s">
        <v>21</v>
      </c>
      <c r="E559" t="s">
        <v>22</v>
      </c>
      <c r="F559" t="s">
        <v>34</v>
      </c>
      <c r="G559">
        <v>4000.69</v>
      </c>
      <c r="H559">
        <v>4</v>
      </c>
      <c r="I559">
        <v>-205.21</v>
      </c>
    </row>
    <row r="560" spans="1:9" x14ac:dyDescent="0.3">
      <c r="A560" t="s">
        <v>774</v>
      </c>
      <c r="B560" s="1">
        <v>45376</v>
      </c>
      <c r="C560" t="s">
        <v>10</v>
      </c>
      <c r="D560" t="s">
        <v>11</v>
      </c>
      <c r="E560" t="s">
        <v>18</v>
      </c>
      <c r="F560" t="s">
        <v>296</v>
      </c>
      <c r="G560">
        <v>104.95</v>
      </c>
      <c r="H560">
        <v>1</v>
      </c>
      <c r="I560">
        <v>19.29</v>
      </c>
    </row>
    <row r="561" spans="1:9" x14ac:dyDescent="0.3">
      <c r="A561" t="s">
        <v>775</v>
      </c>
      <c r="B561" s="1">
        <v>45723</v>
      </c>
      <c r="C561" t="s">
        <v>25</v>
      </c>
      <c r="D561" t="s">
        <v>21</v>
      </c>
      <c r="E561" t="s">
        <v>36</v>
      </c>
      <c r="F561" t="s">
        <v>461</v>
      </c>
      <c r="G561">
        <v>3993.75</v>
      </c>
      <c r="H561">
        <v>5</v>
      </c>
      <c r="I561">
        <v>-201.12</v>
      </c>
    </row>
    <row r="562" spans="1:9" x14ac:dyDescent="0.3">
      <c r="A562" t="s">
        <v>776</v>
      </c>
      <c r="B562" s="1">
        <v>45392</v>
      </c>
      <c r="C562" t="s">
        <v>17</v>
      </c>
      <c r="D562" t="s">
        <v>11</v>
      </c>
      <c r="E562" t="s">
        <v>12</v>
      </c>
      <c r="F562" t="s">
        <v>164</v>
      </c>
      <c r="G562">
        <v>3789.85</v>
      </c>
      <c r="H562">
        <v>8</v>
      </c>
      <c r="I562">
        <v>633.55999999999995</v>
      </c>
    </row>
    <row r="563" spans="1:9" x14ac:dyDescent="0.3">
      <c r="A563" t="s">
        <v>777</v>
      </c>
      <c r="B563" s="1">
        <v>45413</v>
      </c>
      <c r="C563" t="s">
        <v>28</v>
      </c>
      <c r="D563" t="s">
        <v>11</v>
      </c>
      <c r="E563" t="s">
        <v>12</v>
      </c>
      <c r="F563" t="s">
        <v>412</v>
      </c>
      <c r="G563">
        <v>3539.35</v>
      </c>
      <c r="H563">
        <v>1</v>
      </c>
      <c r="I563">
        <v>-348.35</v>
      </c>
    </row>
    <row r="564" spans="1:9" x14ac:dyDescent="0.3">
      <c r="A564" t="s">
        <v>778</v>
      </c>
      <c r="B564" s="1">
        <v>45710</v>
      </c>
      <c r="C564" t="s">
        <v>10</v>
      </c>
      <c r="D564" t="s">
        <v>32</v>
      </c>
      <c r="E564" t="s">
        <v>73</v>
      </c>
      <c r="F564" t="s">
        <v>93</v>
      </c>
      <c r="G564">
        <v>560.08000000000004</v>
      </c>
      <c r="H564">
        <v>8</v>
      </c>
      <c r="I564">
        <v>69.23</v>
      </c>
    </row>
    <row r="565" spans="1:9" x14ac:dyDescent="0.3">
      <c r="A565" t="s">
        <v>779</v>
      </c>
      <c r="B565" s="1">
        <v>45571</v>
      </c>
      <c r="C565" t="s">
        <v>10</v>
      </c>
      <c r="D565" t="s">
        <v>21</v>
      </c>
      <c r="E565" t="s">
        <v>22</v>
      </c>
      <c r="F565" t="s">
        <v>578</v>
      </c>
      <c r="G565">
        <v>3696.54</v>
      </c>
      <c r="H565">
        <v>9</v>
      </c>
      <c r="I565">
        <v>-46.47</v>
      </c>
    </row>
    <row r="566" spans="1:9" x14ac:dyDescent="0.3">
      <c r="A566" t="s">
        <v>780</v>
      </c>
      <c r="B566" s="1">
        <v>45952</v>
      </c>
      <c r="C566" t="s">
        <v>17</v>
      </c>
      <c r="D566" t="s">
        <v>32</v>
      </c>
      <c r="E566" t="s">
        <v>73</v>
      </c>
      <c r="F566" t="s">
        <v>556</v>
      </c>
      <c r="G566">
        <v>373.33</v>
      </c>
      <c r="H566">
        <v>10</v>
      </c>
      <c r="I566">
        <v>-11.74</v>
      </c>
    </row>
    <row r="567" spans="1:9" x14ac:dyDescent="0.3">
      <c r="A567" t="s">
        <v>781</v>
      </c>
      <c r="B567" s="1">
        <v>46002</v>
      </c>
      <c r="C567" t="s">
        <v>25</v>
      </c>
      <c r="D567" t="s">
        <v>32</v>
      </c>
      <c r="E567" t="s">
        <v>73</v>
      </c>
      <c r="F567" t="s">
        <v>248</v>
      </c>
      <c r="G567">
        <v>2802.95</v>
      </c>
      <c r="H567">
        <v>4</v>
      </c>
      <c r="I567">
        <v>767.34</v>
      </c>
    </row>
    <row r="568" spans="1:9" x14ac:dyDescent="0.3">
      <c r="A568" t="s">
        <v>782</v>
      </c>
      <c r="B568" s="1">
        <v>45710</v>
      </c>
      <c r="C568" t="s">
        <v>25</v>
      </c>
      <c r="D568" t="s">
        <v>21</v>
      </c>
      <c r="E568" t="s">
        <v>36</v>
      </c>
      <c r="F568" t="s">
        <v>217</v>
      </c>
      <c r="G568">
        <v>2123.69</v>
      </c>
      <c r="H568">
        <v>3</v>
      </c>
      <c r="I568">
        <v>373.36</v>
      </c>
    </row>
    <row r="569" spans="1:9" x14ac:dyDescent="0.3">
      <c r="A569" t="s">
        <v>783</v>
      </c>
      <c r="B569" s="1">
        <v>45498</v>
      </c>
      <c r="C569" t="s">
        <v>28</v>
      </c>
      <c r="D569" t="s">
        <v>11</v>
      </c>
      <c r="E569" t="s">
        <v>18</v>
      </c>
      <c r="F569" t="s">
        <v>357</v>
      </c>
      <c r="G569">
        <v>2267.34</v>
      </c>
      <c r="H569">
        <v>2</v>
      </c>
      <c r="I569">
        <v>70.73</v>
      </c>
    </row>
    <row r="570" spans="1:9" x14ac:dyDescent="0.3">
      <c r="A570" t="s">
        <v>784</v>
      </c>
      <c r="B570" s="1">
        <v>45689</v>
      </c>
      <c r="C570" t="s">
        <v>28</v>
      </c>
      <c r="D570" t="s">
        <v>21</v>
      </c>
      <c r="E570" t="s">
        <v>22</v>
      </c>
      <c r="F570" t="s">
        <v>721</v>
      </c>
      <c r="G570">
        <v>2937.36</v>
      </c>
      <c r="H570">
        <v>8</v>
      </c>
      <c r="I570">
        <v>-273.3</v>
      </c>
    </row>
    <row r="571" spans="1:9" x14ac:dyDescent="0.3">
      <c r="A571" t="s">
        <v>785</v>
      </c>
      <c r="B571" s="1">
        <v>45336</v>
      </c>
      <c r="C571" t="s">
        <v>10</v>
      </c>
      <c r="D571" t="s">
        <v>21</v>
      </c>
      <c r="E571" t="s">
        <v>29</v>
      </c>
      <c r="F571" t="s">
        <v>393</v>
      </c>
      <c r="G571">
        <v>722.05</v>
      </c>
      <c r="H571">
        <v>3</v>
      </c>
      <c r="I571">
        <v>52.07</v>
      </c>
    </row>
    <row r="572" spans="1:9" x14ac:dyDescent="0.3">
      <c r="A572" t="s">
        <v>786</v>
      </c>
      <c r="B572" s="1">
        <v>45918</v>
      </c>
      <c r="C572" t="s">
        <v>28</v>
      </c>
      <c r="D572" t="s">
        <v>11</v>
      </c>
      <c r="E572" t="s">
        <v>48</v>
      </c>
      <c r="F572" t="s">
        <v>202</v>
      </c>
      <c r="G572">
        <v>3616.18</v>
      </c>
      <c r="H572">
        <v>6</v>
      </c>
      <c r="I572">
        <v>943.26</v>
      </c>
    </row>
    <row r="573" spans="1:9" x14ac:dyDescent="0.3">
      <c r="A573" t="s">
        <v>787</v>
      </c>
      <c r="B573" s="1">
        <v>45399</v>
      </c>
      <c r="C573" t="s">
        <v>17</v>
      </c>
      <c r="D573" t="s">
        <v>32</v>
      </c>
      <c r="E573" t="s">
        <v>33</v>
      </c>
      <c r="F573" t="s">
        <v>123</v>
      </c>
      <c r="G573">
        <v>3505.64</v>
      </c>
      <c r="H573">
        <v>2</v>
      </c>
      <c r="I573">
        <v>45.87</v>
      </c>
    </row>
    <row r="574" spans="1:9" x14ac:dyDescent="0.3">
      <c r="A574" t="s">
        <v>788</v>
      </c>
      <c r="B574" s="1">
        <v>45744</v>
      </c>
      <c r="C574" t="s">
        <v>10</v>
      </c>
      <c r="D574" t="s">
        <v>32</v>
      </c>
      <c r="E574" t="s">
        <v>33</v>
      </c>
      <c r="F574" t="s">
        <v>176</v>
      </c>
      <c r="G574">
        <v>2253.13</v>
      </c>
      <c r="H574">
        <v>3</v>
      </c>
      <c r="I574">
        <v>389.85</v>
      </c>
    </row>
    <row r="575" spans="1:9" x14ac:dyDescent="0.3">
      <c r="A575" t="s">
        <v>789</v>
      </c>
      <c r="B575" s="1">
        <v>45592</v>
      </c>
      <c r="C575" t="s">
        <v>25</v>
      </c>
      <c r="D575" t="s">
        <v>32</v>
      </c>
      <c r="E575" t="s">
        <v>39</v>
      </c>
      <c r="F575" t="s">
        <v>372</v>
      </c>
      <c r="G575">
        <v>3607.09</v>
      </c>
      <c r="H575">
        <v>6</v>
      </c>
      <c r="I575">
        <v>-233.61</v>
      </c>
    </row>
    <row r="576" spans="1:9" x14ac:dyDescent="0.3">
      <c r="A576" t="s">
        <v>790</v>
      </c>
      <c r="B576" s="1">
        <v>45794</v>
      </c>
      <c r="C576" t="s">
        <v>17</v>
      </c>
      <c r="D576" t="s">
        <v>32</v>
      </c>
      <c r="E576" t="s">
        <v>39</v>
      </c>
      <c r="F576" t="s">
        <v>320</v>
      </c>
      <c r="G576">
        <v>581.95000000000005</v>
      </c>
      <c r="H576">
        <v>7</v>
      </c>
      <c r="I576">
        <v>-30.32</v>
      </c>
    </row>
    <row r="577" spans="1:9" x14ac:dyDescent="0.3">
      <c r="A577" t="s">
        <v>791</v>
      </c>
      <c r="B577" s="1">
        <v>45999</v>
      </c>
      <c r="C577" t="s">
        <v>10</v>
      </c>
      <c r="D577" t="s">
        <v>32</v>
      </c>
      <c r="E577" t="s">
        <v>39</v>
      </c>
      <c r="F577" t="s">
        <v>279</v>
      </c>
      <c r="G577">
        <v>4018.69</v>
      </c>
      <c r="H577">
        <v>10</v>
      </c>
      <c r="I577">
        <v>766.76</v>
      </c>
    </row>
    <row r="578" spans="1:9" x14ac:dyDescent="0.3">
      <c r="A578" t="s">
        <v>792</v>
      </c>
      <c r="B578" s="1">
        <v>45690</v>
      </c>
      <c r="C578" t="s">
        <v>28</v>
      </c>
      <c r="D578" t="s">
        <v>11</v>
      </c>
      <c r="E578" t="s">
        <v>12</v>
      </c>
      <c r="F578" t="s">
        <v>111</v>
      </c>
      <c r="G578">
        <v>4063.61</v>
      </c>
      <c r="H578">
        <v>6</v>
      </c>
      <c r="I578">
        <v>523.73</v>
      </c>
    </row>
    <row r="579" spans="1:9" x14ac:dyDescent="0.3">
      <c r="A579" t="s">
        <v>793</v>
      </c>
      <c r="B579" s="1">
        <v>45522</v>
      </c>
      <c r="C579" t="s">
        <v>25</v>
      </c>
      <c r="D579" t="s">
        <v>11</v>
      </c>
      <c r="E579" t="s">
        <v>48</v>
      </c>
      <c r="F579" t="s">
        <v>567</v>
      </c>
      <c r="G579">
        <v>525.46</v>
      </c>
      <c r="H579">
        <v>3</v>
      </c>
      <c r="I579">
        <v>-44.92</v>
      </c>
    </row>
    <row r="580" spans="1:9" x14ac:dyDescent="0.3">
      <c r="A580" t="s">
        <v>794</v>
      </c>
      <c r="B580" s="1">
        <v>45446</v>
      </c>
      <c r="C580" t="s">
        <v>28</v>
      </c>
      <c r="D580" t="s">
        <v>21</v>
      </c>
      <c r="E580" t="s">
        <v>29</v>
      </c>
      <c r="F580" t="s">
        <v>70</v>
      </c>
      <c r="G580">
        <v>451.9</v>
      </c>
      <c r="H580">
        <v>7</v>
      </c>
      <c r="I580">
        <v>115.66</v>
      </c>
    </row>
    <row r="581" spans="1:9" x14ac:dyDescent="0.3">
      <c r="A581" t="s">
        <v>795</v>
      </c>
      <c r="B581" s="1">
        <v>45353</v>
      </c>
      <c r="C581" t="s">
        <v>17</v>
      </c>
      <c r="D581" t="s">
        <v>32</v>
      </c>
      <c r="E581" t="s">
        <v>33</v>
      </c>
      <c r="F581" t="s">
        <v>74</v>
      </c>
      <c r="G581">
        <v>1273.73</v>
      </c>
      <c r="H581">
        <v>4</v>
      </c>
      <c r="I581">
        <v>345.55</v>
      </c>
    </row>
    <row r="582" spans="1:9" x14ac:dyDescent="0.3">
      <c r="A582" t="s">
        <v>796</v>
      </c>
      <c r="B582" s="1">
        <v>45530</v>
      </c>
      <c r="C582" t="s">
        <v>10</v>
      </c>
      <c r="D582" t="s">
        <v>11</v>
      </c>
      <c r="E582" t="s">
        <v>18</v>
      </c>
      <c r="F582" t="s">
        <v>735</v>
      </c>
      <c r="G582">
        <v>4740.95</v>
      </c>
      <c r="H582">
        <v>7</v>
      </c>
      <c r="I582">
        <v>821.28</v>
      </c>
    </row>
    <row r="583" spans="1:9" x14ac:dyDescent="0.3">
      <c r="A583" t="s">
        <v>797</v>
      </c>
      <c r="B583" s="1">
        <v>45682</v>
      </c>
      <c r="C583" t="s">
        <v>17</v>
      </c>
      <c r="D583" t="s">
        <v>11</v>
      </c>
      <c r="E583" t="s">
        <v>18</v>
      </c>
      <c r="F583" t="s">
        <v>244</v>
      </c>
      <c r="G583">
        <v>4848.8999999999996</v>
      </c>
      <c r="H583">
        <v>4</v>
      </c>
      <c r="I583">
        <v>-184.6</v>
      </c>
    </row>
    <row r="584" spans="1:9" x14ac:dyDescent="0.3">
      <c r="A584" t="s">
        <v>798</v>
      </c>
      <c r="B584" s="1">
        <v>45842</v>
      </c>
      <c r="C584" t="s">
        <v>28</v>
      </c>
      <c r="D584" t="s">
        <v>21</v>
      </c>
      <c r="E584" t="s">
        <v>29</v>
      </c>
      <c r="F584" t="s">
        <v>19</v>
      </c>
      <c r="G584">
        <v>4488.87</v>
      </c>
      <c r="H584">
        <v>3</v>
      </c>
      <c r="I584">
        <v>-33.97</v>
      </c>
    </row>
    <row r="585" spans="1:9" x14ac:dyDescent="0.3">
      <c r="A585" t="s">
        <v>799</v>
      </c>
      <c r="B585" s="1">
        <v>45946</v>
      </c>
      <c r="C585" t="s">
        <v>17</v>
      </c>
      <c r="D585" t="s">
        <v>32</v>
      </c>
      <c r="E585" t="s">
        <v>39</v>
      </c>
      <c r="F585" t="s">
        <v>215</v>
      </c>
      <c r="G585">
        <v>2323.87</v>
      </c>
      <c r="H585">
        <v>8</v>
      </c>
      <c r="I585">
        <v>524.73</v>
      </c>
    </row>
    <row r="586" spans="1:9" x14ac:dyDescent="0.3">
      <c r="A586" t="s">
        <v>800</v>
      </c>
      <c r="B586" s="1">
        <v>45434</v>
      </c>
      <c r="C586" t="s">
        <v>28</v>
      </c>
      <c r="D586" t="s">
        <v>32</v>
      </c>
      <c r="E586" t="s">
        <v>33</v>
      </c>
      <c r="F586" t="s">
        <v>195</v>
      </c>
      <c r="G586">
        <v>3252.72</v>
      </c>
      <c r="H586">
        <v>10</v>
      </c>
      <c r="I586">
        <v>207.61</v>
      </c>
    </row>
    <row r="587" spans="1:9" x14ac:dyDescent="0.3">
      <c r="A587" t="s">
        <v>801</v>
      </c>
      <c r="B587" s="1">
        <v>45946</v>
      </c>
      <c r="C587" t="s">
        <v>10</v>
      </c>
      <c r="D587" t="s">
        <v>21</v>
      </c>
      <c r="E587" t="s">
        <v>22</v>
      </c>
      <c r="F587" t="s">
        <v>313</v>
      </c>
      <c r="G587">
        <v>4601.18</v>
      </c>
      <c r="H587">
        <v>10</v>
      </c>
      <c r="I587">
        <v>1297.6500000000001</v>
      </c>
    </row>
    <row r="588" spans="1:9" x14ac:dyDescent="0.3">
      <c r="A588" t="s">
        <v>802</v>
      </c>
      <c r="B588" s="1">
        <v>45813</v>
      </c>
      <c r="C588" t="s">
        <v>17</v>
      </c>
      <c r="D588" t="s">
        <v>11</v>
      </c>
      <c r="E588" t="s">
        <v>48</v>
      </c>
      <c r="F588" t="s">
        <v>520</v>
      </c>
      <c r="G588">
        <v>1963.67</v>
      </c>
      <c r="H588">
        <v>3</v>
      </c>
      <c r="I588">
        <v>401.21</v>
      </c>
    </row>
    <row r="589" spans="1:9" x14ac:dyDescent="0.3">
      <c r="A589" t="s">
        <v>803</v>
      </c>
      <c r="B589" s="1">
        <v>45367</v>
      </c>
      <c r="C589" t="s">
        <v>25</v>
      </c>
      <c r="D589" t="s">
        <v>21</v>
      </c>
      <c r="E589" t="s">
        <v>29</v>
      </c>
      <c r="F589" t="s">
        <v>721</v>
      </c>
      <c r="G589">
        <v>3806.1</v>
      </c>
      <c r="H589">
        <v>7</v>
      </c>
      <c r="I589">
        <v>1043.8499999999999</v>
      </c>
    </row>
    <row r="590" spans="1:9" x14ac:dyDescent="0.3">
      <c r="A590" t="s">
        <v>804</v>
      </c>
      <c r="B590" s="1">
        <v>46014</v>
      </c>
      <c r="C590" t="s">
        <v>25</v>
      </c>
      <c r="D590" t="s">
        <v>32</v>
      </c>
      <c r="E590" t="s">
        <v>39</v>
      </c>
      <c r="F590" t="s">
        <v>265</v>
      </c>
      <c r="G590">
        <v>4598.58</v>
      </c>
      <c r="H590">
        <v>4</v>
      </c>
      <c r="I590">
        <v>1322.69</v>
      </c>
    </row>
    <row r="591" spans="1:9" x14ac:dyDescent="0.3">
      <c r="A591" t="s">
        <v>805</v>
      </c>
      <c r="B591" s="1">
        <v>45656</v>
      </c>
      <c r="C591" t="s">
        <v>28</v>
      </c>
      <c r="D591" t="s">
        <v>32</v>
      </c>
      <c r="E591" t="s">
        <v>73</v>
      </c>
      <c r="F591" t="s">
        <v>219</v>
      </c>
      <c r="G591">
        <v>3232.93</v>
      </c>
      <c r="H591">
        <v>7</v>
      </c>
      <c r="I591">
        <v>-315.08999999999997</v>
      </c>
    </row>
    <row r="592" spans="1:9" x14ac:dyDescent="0.3">
      <c r="A592" t="s">
        <v>806</v>
      </c>
      <c r="B592" s="1">
        <v>45741</v>
      </c>
      <c r="C592" t="s">
        <v>28</v>
      </c>
      <c r="D592" t="s">
        <v>32</v>
      </c>
      <c r="E592" t="s">
        <v>39</v>
      </c>
      <c r="F592" t="s">
        <v>735</v>
      </c>
      <c r="G592">
        <v>268.64999999999998</v>
      </c>
      <c r="H592">
        <v>2</v>
      </c>
      <c r="I592">
        <v>-1.23</v>
      </c>
    </row>
    <row r="593" spans="1:9" x14ac:dyDescent="0.3">
      <c r="A593" t="s">
        <v>807</v>
      </c>
      <c r="B593" s="1">
        <v>45927</v>
      </c>
      <c r="C593" t="s">
        <v>17</v>
      </c>
      <c r="D593" t="s">
        <v>11</v>
      </c>
      <c r="E593" t="s">
        <v>12</v>
      </c>
      <c r="F593" t="s">
        <v>209</v>
      </c>
      <c r="G593">
        <v>3836.49</v>
      </c>
      <c r="H593">
        <v>5</v>
      </c>
      <c r="I593">
        <v>721.13</v>
      </c>
    </row>
    <row r="594" spans="1:9" x14ac:dyDescent="0.3">
      <c r="A594" t="s">
        <v>808</v>
      </c>
      <c r="B594" s="1">
        <v>45771</v>
      </c>
      <c r="C594" t="s">
        <v>17</v>
      </c>
      <c r="D594" t="s">
        <v>32</v>
      </c>
      <c r="E594" t="s">
        <v>39</v>
      </c>
      <c r="F594" t="s">
        <v>480</v>
      </c>
      <c r="G594">
        <v>831.14</v>
      </c>
      <c r="H594">
        <v>1</v>
      </c>
      <c r="I594">
        <v>194.91</v>
      </c>
    </row>
    <row r="595" spans="1:9" x14ac:dyDescent="0.3">
      <c r="A595" t="s">
        <v>809</v>
      </c>
      <c r="B595" s="1">
        <v>45831</v>
      </c>
      <c r="C595" t="s">
        <v>10</v>
      </c>
      <c r="D595" t="s">
        <v>11</v>
      </c>
      <c r="E595" t="s">
        <v>48</v>
      </c>
      <c r="F595" t="s">
        <v>53</v>
      </c>
      <c r="G595">
        <v>564.66</v>
      </c>
      <c r="H595">
        <v>6</v>
      </c>
      <c r="I595">
        <v>11.2</v>
      </c>
    </row>
    <row r="596" spans="1:9" x14ac:dyDescent="0.3">
      <c r="A596" t="s">
        <v>810</v>
      </c>
      <c r="B596" s="1">
        <v>45949</v>
      </c>
      <c r="C596" t="s">
        <v>28</v>
      </c>
      <c r="D596" t="s">
        <v>21</v>
      </c>
      <c r="E596" t="s">
        <v>29</v>
      </c>
      <c r="F596" t="s">
        <v>602</v>
      </c>
      <c r="G596">
        <v>3472.39</v>
      </c>
      <c r="H596">
        <v>6</v>
      </c>
      <c r="I596">
        <v>40.770000000000003</v>
      </c>
    </row>
    <row r="597" spans="1:9" x14ac:dyDescent="0.3">
      <c r="A597" t="s">
        <v>811</v>
      </c>
      <c r="B597" s="1">
        <v>45701</v>
      </c>
      <c r="C597" t="s">
        <v>25</v>
      </c>
      <c r="D597" t="s">
        <v>32</v>
      </c>
      <c r="E597" t="s">
        <v>73</v>
      </c>
      <c r="F597" t="s">
        <v>372</v>
      </c>
      <c r="G597">
        <v>2606.38</v>
      </c>
      <c r="H597">
        <v>5</v>
      </c>
      <c r="I597">
        <v>-168.37</v>
      </c>
    </row>
    <row r="598" spans="1:9" x14ac:dyDescent="0.3">
      <c r="A598" t="s">
        <v>812</v>
      </c>
      <c r="B598" s="1">
        <v>45923</v>
      </c>
      <c r="C598" t="s">
        <v>17</v>
      </c>
      <c r="D598" t="s">
        <v>32</v>
      </c>
      <c r="E598" t="s">
        <v>73</v>
      </c>
      <c r="F598" t="s">
        <v>46</v>
      </c>
      <c r="G598">
        <v>3117.71</v>
      </c>
      <c r="H598">
        <v>9</v>
      </c>
      <c r="I598">
        <v>691.37</v>
      </c>
    </row>
    <row r="599" spans="1:9" x14ac:dyDescent="0.3">
      <c r="A599" t="s">
        <v>813</v>
      </c>
      <c r="B599" s="1">
        <v>45545</v>
      </c>
      <c r="C599" t="s">
        <v>17</v>
      </c>
      <c r="D599" t="s">
        <v>11</v>
      </c>
      <c r="E599" t="s">
        <v>12</v>
      </c>
      <c r="F599" t="s">
        <v>213</v>
      </c>
      <c r="G599">
        <v>4793.42</v>
      </c>
      <c r="H599">
        <v>5</v>
      </c>
      <c r="I599">
        <v>198.43</v>
      </c>
    </row>
    <row r="600" spans="1:9" x14ac:dyDescent="0.3">
      <c r="A600" t="s">
        <v>814</v>
      </c>
      <c r="B600" s="1">
        <v>45975</v>
      </c>
      <c r="C600" t="s">
        <v>28</v>
      </c>
      <c r="D600" t="s">
        <v>11</v>
      </c>
      <c r="E600" t="s">
        <v>48</v>
      </c>
      <c r="F600" t="s">
        <v>372</v>
      </c>
      <c r="G600">
        <v>1290.73</v>
      </c>
      <c r="H600">
        <v>9</v>
      </c>
      <c r="I600">
        <v>-50.31</v>
      </c>
    </row>
    <row r="601" spans="1:9" x14ac:dyDescent="0.3">
      <c r="A601" t="s">
        <v>815</v>
      </c>
      <c r="B601" s="1">
        <v>45868</v>
      </c>
      <c r="C601" t="s">
        <v>28</v>
      </c>
      <c r="D601" t="s">
        <v>32</v>
      </c>
      <c r="E601" t="s">
        <v>73</v>
      </c>
      <c r="F601" t="s">
        <v>180</v>
      </c>
      <c r="G601">
        <v>680.52</v>
      </c>
      <c r="H601">
        <v>3</v>
      </c>
      <c r="I601">
        <v>96.02</v>
      </c>
    </row>
    <row r="602" spans="1:9" x14ac:dyDescent="0.3">
      <c r="A602" t="s">
        <v>816</v>
      </c>
      <c r="B602" s="1">
        <v>45720</v>
      </c>
      <c r="C602" t="s">
        <v>25</v>
      </c>
      <c r="D602" t="s">
        <v>11</v>
      </c>
      <c r="E602" t="s">
        <v>48</v>
      </c>
      <c r="F602" t="s">
        <v>226</v>
      </c>
      <c r="G602">
        <v>3429.88</v>
      </c>
      <c r="H602">
        <v>6</v>
      </c>
      <c r="I602">
        <v>173.13</v>
      </c>
    </row>
    <row r="603" spans="1:9" x14ac:dyDescent="0.3">
      <c r="A603" t="s">
        <v>817</v>
      </c>
      <c r="B603" s="1">
        <v>45386</v>
      </c>
      <c r="C603" t="s">
        <v>10</v>
      </c>
      <c r="D603" t="s">
        <v>32</v>
      </c>
      <c r="E603" t="s">
        <v>73</v>
      </c>
      <c r="F603" t="s">
        <v>144</v>
      </c>
      <c r="G603">
        <v>998.63</v>
      </c>
      <c r="H603">
        <v>10</v>
      </c>
      <c r="I603">
        <v>-1.86</v>
      </c>
    </row>
    <row r="604" spans="1:9" x14ac:dyDescent="0.3">
      <c r="A604" t="s">
        <v>818</v>
      </c>
      <c r="B604" s="1">
        <v>45586</v>
      </c>
      <c r="C604" t="s">
        <v>10</v>
      </c>
      <c r="D604" t="s">
        <v>32</v>
      </c>
      <c r="E604" t="s">
        <v>73</v>
      </c>
      <c r="F604" t="s">
        <v>237</v>
      </c>
      <c r="G604">
        <v>2125.1</v>
      </c>
      <c r="H604">
        <v>6</v>
      </c>
      <c r="I604">
        <v>-165.9</v>
      </c>
    </row>
    <row r="605" spans="1:9" x14ac:dyDescent="0.3">
      <c r="A605" t="s">
        <v>819</v>
      </c>
      <c r="B605" s="1">
        <v>45417</v>
      </c>
      <c r="C605" t="s">
        <v>17</v>
      </c>
      <c r="D605" t="s">
        <v>32</v>
      </c>
      <c r="E605" t="s">
        <v>39</v>
      </c>
      <c r="F605" t="s">
        <v>23</v>
      </c>
      <c r="G605">
        <v>2392.8000000000002</v>
      </c>
      <c r="H605">
        <v>1</v>
      </c>
      <c r="I605">
        <v>634.88</v>
      </c>
    </row>
    <row r="606" spans="1:9" x14ac:dyDescent="0.3">
      <c r="A606" t="s">
        <v>820</v>
      </c>
      <c r="B606" s="1">
        <v>45713</v>
      </c>
      <c r="C606" t="s">
        <v>10</v>
      </c>
      <c r="D606" t="s">
        <v>11</v>
      </c>
      <c r="E606" t="s">
        <v>48</v>
      </c>
      <c r="F606" t="s">
        <v>261</v>
      </c>
      <c r="G606">
        <v>3904.62</v>
      </c>
      <c r="H606">
        <v>4</v>
      </c>
      <c r="I606">
        <v>359.23</v>
      </c>
    </row>
    <row r="607" spans="1:9" x14ac:dyDescent="0.3">
      <c r="A607" t="s">
        <v>821</v>
      </c>
      <c r="B607" s="1">
        <v>45374</v>
      </c>
      <c r="C607" t="s">
        <v>17</v>
      </c>
      <c r="D607" t="s">
        <v>32</v>
      </c>
      <c r="E607" t="s">
        <v>33</v>
      </c>
      <c r="F607" t="s">
        <v>82</v>
      </c>
      <c r="G607">
        <v>3534.93</v>
      </c>
      <c r="H607">
        <v>7</v>
      </c>
      <c r="I607">
        <v>812.02</v>
      </c>
    </row>
    <row r="608" spans="1:9" x14ac:dyDescent="0.3">
      <c r="A608" t="s">
        <v>822</v>
      </c>
      <c r="B608" s="1">
        <v>45584</v>
      </c>
      <c r="C608" t="s">
        <v>17</v>
      </c>
      <c r="D608" t="s">
        <v>11</v>
      </c>
      <c r="E608" t="s">
        <v>18</v>
      </c>
      <c r="F608" t="s">
        <v>229</v>
      </c>
      <c r="G608">
        <v>293.97000000000003</v>
      </c>
      <c r="H608">
        <v>4</v>
      </c>
      <c r="I608">
        <v>11.41</v>
      </c>
    </row>
    <row r="609" spans="1:9" x14ac:dyDescent="0.3">
      <c r="A609" t="s">
        <v>823</v>
      </c>
      <c r="B609" s="1">
        <v>46013</v>
      </c>
      <c r="C609" t="s">
        <v>28</v>
      </c>
      <c r="D609" t="s">
        <v>32</v>
      </c>
      <c r="E609" t="s">
        <v>33</v>
      </c>
      <c r="F609" t="s">
        <v>700</v>
      </c>
      <c r="G609">
        <v>3580.55</v>
      </c>
      <c r="H609">
        <v>8</v>
      </c>
      <c r="I609">
        <v>688.03</v>
      </c>
    </row>
    <row r="610" spans="1:9" x14ac:dyDescent="0.3">
      <c r="A610" t="s">
        <v>824</v>
      </c>
      <c r="B610" s="1">
        <v>45342</v>
      </c>
      <c r="C610" t="s">
        <v>25</v>
      </c>
      <c r="D610" t="s">
        <v>11</v>
      </c>
      <c r="E610" t="s">
        <v>18</v>
      </c>
      <c r="F610" t="s">
        <v>261</v>
      </c>
      <c r="G610">
        <v>4037.63</v>
      </c>
      <c r="H610">
        <v>7</v>
      </c>
      <c r="I610">
        <v>266.39999999999998</v>
      </c>
    </row>
    <row r="611" spans="1:9" x14ac:dyDescent="0.3">
      <c r="A611" t="s">
        <v>825</v>
      </c>
      <c r="B611" s="1">
        <v>45630</v>
      </c>
      <c r="C611" t="s">
        <v>17</v>
      </c>
      <c r="D611" t="s">
        <v>11</v>
      </c>
      <c r="E611" t="s">
        <v>12</v>
      </c>
      <c r="F611" t="s">
        <v>90</v>
      </c>
      <c r="G611">
        <v>3220.33</v>
      </c>
      <c r="H611">
        <v>6</v>
      </c>
      <c r="I611">
        <v>614.26</v>
      </c>
    </row>
    <row r="612" spans="1:9" x14ac:dyDescent="0.3">
      <c r="A612" t="s">
        <v>826</v>
      </c>
      <c r="B612" s="1">
        <v>45895</v>
      </c>
      <c r="C612" t="s">
        <v>10</v>
      </c>
      <c r="D612" t="s">
        <v>21</v>
      </c>
      <c r="E612" t="s">
        <v>36</v>
      </c>
      <c r="F612" t="s">
        <v>166</v>
      </c>
      <c r="G612">
        <v>1784.05</v>
      </c>
      <c r="H612">
        <v>2</v>
      </c>
      <c r="I612">
        <v>329.94</v>
      </c>
    </row>
    <row r="613" spans="1:9" x14ac:dyDescent="0.3">
      <c r="A613" t="s">
        <v>827</v>
      </c>
      <c r="B613" s="1">
        <v>45377</v>
      </c>
      <c r="C613" t="s">
        <v>28</v>
      </c>
      <c r="D613" t="s">
        <v>32</v>
      </c>
      <c r="E613" t="s">
        <v>73</v>
      </c>
      <c r="F613" t="s">
        <v>309</v>
      </c>
      <c r="G613">
        <v>2771.56</v>
      </c>
      <c r="H613">
        <v>6</v>
      </c>
      <c r="I613">
        <v>-68.02</v>
      </c>
    </row>
    <row r="614" spans="1:9" x14ac:dyDescent="0.3">
      <c r="A614" t="s">
        <v>828</v>
      </c>
      <c r="B614" s="1">
        <v>45667</v>
      </c>
      <c r="C614" t="s">
        <v>10</v>
      </c>
      <c r="D614" t="s">
        <v>21</v>
      </c>
      <c r="E614" t="s">
        <v>36</v>
      </c>
      <c r="F614" t="s">
        <v>311</v>
      </c>
      <c r="G614">
        <v>2543.92</v>
      </c>
      <c r="H614">
        <v>8</v>
      </c>
      <c r="I614">
        <v>205.1</v>
      </c>
    </row>
    <row r="615" spans="1:9" x14ac:dyDescent="0.3">
      <c r="A615" t="s">
        <v>829</v>
      </c>
      <c r="B615" s="1">
        <v>45341</v>
      </c>
      <c r="C615" t="s">
        <v>10</v>
      </c>
      <c r="D615" t="s">
        <v>21</v>
      </c>
      <c r="E615" t="s">
        <v>29</v>
      </c>
      <c r="F615" t="s">
        <v>772</v>
      </c>
      <c r="G615">
        <v>4783.6899999999996</v>
      </c>
      <c r="H615">
        <v>5</v>
      </c>
      <c r="I615">
        <v>354.51</v>
      </c>
    </row>
    <row r="616" spans="1:9" x14ac:dyDescent="0.3">
      <c r="A616" t="s">
        <v>830</v>
      </c>
      <c r="B616" s="1">
        <v>45587</v>
      </c>
      <c r="C616" t="s">
        <v>25</v>
      </c>
      <c r="D616" t="s">
        <v>11</v>
      </c>
      <c r="E616" t="s">
        <v>12</v>
      </c>
      <c r="F616" t="s">
        <v>450</v>
      </c>
      <c r="G616">
        <v>608.64</v>
      </c>
      <c r="H616">
        <v>9</v>
      </c>
      <c r="I616">
        <v>110.99</v>
      </c>
    </row>
    <row r="617" spans="1:9" x14ac:dyDescent="0.3">
      <c r="A617" t="s">
        <v>831</v>
      </c>
      <c r="B617" s="1">
        <v>45582</v>
      </c>
      <c r="C617" t="s">
        <v>28</v>
      </c>
      <c r="D617" t="s">
        <v>11</v>
      </c>
      <c r="E617" t="s">
        <v>18</v>
      </c>
      <c r="F617" t="s">
        <v>229</v>
      </c>
      <c r="G617">
        <v>1854.71</v>
      </c>
      <c r="H617">
        <v>2</v>
      </c>
      <c r="I617">
        <v>294.64</v>
      </c>
    </row>
    <row r="618" spans="1:9" x14ac:dyDescent="0.3">
      <c r="A618" t="s">
        <v>832</v>
      </c>
      <c r="B618" s="1">
        <v>45850</v>
      </c>
      <c r="C618" t="s">
        <v>10</v>
      </c>
      <c r="D618" t="s">
        <v>21</v>
      </c>
      <c r="E618" t="s">
        <v>29</v>
      </c>
      <c r="F618" t="s">
        <v>213</v>
      </c>
      <c r="G618">
        <v>1678.04</v>
      </c>
      <c r="H618">
        <v>3</v>
      </c>
      <c r="I618">
        <v>179.49</v>
      </c>
    </row>
    <row r="619" spans="1:9" x14ac:dyDescent="0.3">
      <c r="A619" t="s">
        <v>833</v>
      </c>
      <c r="B619" s="1">
        <v>45667</v>
      </c>
      <c r="C619" t="s">
        <v>10</v>
      </c>
      <c r="D619" t="s">
        <v>21</v>
      </c>
      <c r="E619" t="s">
        <v>22</v>
      </c>
      <c r="F619" t="s">
        <v>296</v>
      </c>
      <c r="G619">
        <v>2808.64</v>
      </c>
      <c r="H619">
        <v>4</v>
      </c>
      <c r="I619">
        <v>563.22</v>
      </c>
    </row>
    <row r="620" spans="1:9" x14ac:dyDescent="0.3">
      <c r="A620" t="s">
        <v>834</v>
      </c>
      <c r="B620" s="1">
        <v>45634</v>
      </c>
      <c r="C620" t="s">
        <v>17</v>
      </c>
      <c r="D620" t="s">
        <v>21</v>
      </c>
      <c r="E620" t="s">
        <v>36</v>
      </c>
      <c r="F620" t="s">
        <v>252</v>
      </c>
      <c r="G620">
        <v>2306.08</v>
      </c>
      <c r="H620">
        <v>5</v>
      </c>
      <c r="I620">
        <v>-22.43</v>
      </c>
    </row>
    <row r="621" spans="1:9" x14ac:dyDescent="0.3">
      <c r="A621" t="s">
        <v>835</v>
      </c>
      <c r="B621" s="1">
        <v>45638</v>
      </c>
      <c r="C621" t="s">
        <v>17</v>
      </c>
      <c r="D621" t="s">
        <v>21</v>
      </c>
      <c r="E621" t="s">
        <v>22</v>
      </c>
      <c r="F621" t="s">
        <v>836</v>
      </c>
      <c r="G621">
        <v>3047.96</v>
      </c>
      <c r="H621">
        <v>7</v>
      </c>
      <c r="I621">
        <v>-250.34</v>
      </c>
    </row>
    <row r="622" spans="1:9" x14ac:dyDescent="0.3">
      <c r="A622" t="s">
        <v>837</v>
      </c>
      <c r="B622" s="1">
        <v>45978</v>
      </c>
      <c r="C622" t="s">
        <v>17</v>
      </c>
      <c r="D622" t="s">
        <v>32</v>
      </c>
      <c r="E622" t="s">
        <v>39</v>
      </c>
      <c r="F622" t="s">
        <v>113</v>
      </c>
      <c r="G622">
        <v>1481.09</v>
      </c>
      <c r="H622">
        <v>10</v>
      </c>
      <c r="I622">
        <v>270.45999999999998</v>
      </c>
    </row>
    <row r="623" spans="1:9" x14ac:dyDescent="0.3">
      <c r="A623" t="s">
        <v>838</v>
      </c>
      <c r="B623" s="1">
        <v>45981</v>
      </c>
      <c r="C623" t="s">
        <v>10</v>
      </c>
      <c r="D623" t="s">
        <v>21</v>
      </c>
      <c r="E623" t="s">
        <v>22</v>
      </c>
      <c r="F623" t="s">
        <v>244</v>
      </c>
      <c r="G623">
        <v>3675.2</v>
      </c>
      <c r="H623">
        <v>7</v>
      </c>
      <c r="I623">
        <v>-270.11</v>
      </c>
    </row>
    <row r="624" spans="1:9" x14ac:dyDescent="0.3">
      <c r="A624" t="s">
        <v>839</v>
      </c>
      <c r="B624" s="1">
        <v>45915</v>
      </c>
      <c r="C624" t="s">
        <v>10</v>
      </c>
      <c r="D624" t="s">
        <v>21</v>
      </c>
      <c r="E624" t="s">
        <v>29</v>
      </c>
      <c r="F624" t="s">
        <v>65</v>
      </c>
      <c r="G624">
        <v>2019.04</v>
      </c>
      <c r="H624">
        <v>3</v>
      </c>
      <c r="I624">
        <v>-50.61</v>
      </c>
    </row>
    <row r="625" spans="1:9" x14ac:dyDescent="0.3">
      <c r="A625" t="s">
        <v>840</v>
      </c>
      <c r="B625" s="1">
        <v>45300</v>
      </c>
      <c r="C625" t="s">
        <v>10</v>
      </c>
      <c r="D625" t="s">
        <v>21</v>
      </c>
      <c r="E625" t="s">
        <v>36</v>
      </c>
      <c r="F625" t="s">
        <v>23</v>
      </c>
      <c r="G625">
        <v>1815.69</v>
      </c>
      <c r="H625">
        <v>4</v>
      </c>
      <c r="I625">
        <v>451.86</v>
      </c>
    </row>
    <row r="626" spans="1:9" x14ac:dyDescent="0.3">
      <c r="A626" t="s">
        <v>841</v>
      </c>
      <c r="B626" s="1">
        <v>45991</v>
      </c>
      <c r="C626" t="s">
        <v>17</v>
      </c>
      <c r="D626" t="s">
        <v>32</v>
      </c>
      <c r="E626" t="s">
        <v>39</v>
      </c>
      <c r="F626" t="s">
        <v>53</v>
      </c>
      <c r="G626">
        <v>826.78</v>
      </c>
      <c r="H626">
        <v>10</v>
      </c>
      <c r="I626">
        <v>67.510000000000005</v>
      </c>
    </row>
    <row r="627" spans="1:9" x14ac:dyDescent="0.3">
      <c r="A627" t="s">
        <v>842</v>
      </c>
      <c r="B627" s="1">
        <v>46016</v>
      </c>
      <c r="C627" t="s">
        <v>17</v>
      </c>
      <c r="D627" t="s">
        <v>21</v>
      </c>
      <c r="E627" t="s">
        <v>29</v>
      </c>
      <c r="F627" t="s">
        <v>101</v>
      </c>
      <c r="G627">
        <v>158.83000000000001</v>
      </c>
      <c r="H627">
        <v>8</v>
      </c>
      <c r="I627">
        <v>30.73</v>
      </c>
    </row>
    <row r="628" spans="1:9" x14ac:dyDescent="0.3">
      <c r="A628" t="s">
        <v>843</v>
      </c>
      <c r="B628" s="1">
        <v>45485</v>
      </c>
      <c r="C628" t="s">
        <v>28</v>
      </c>
      <c r="D628" t="s">
        <v>21</v>
      </c>
      <c r="E628" t="s">
        <v>29</v>
      </c>
      <c r="F628" t="s">
        <v>61</v>
      </c>
      <c r="G628">
        <v>696.15</v>
      </c>
      <c r="H628">
        <v>4</v>
      </c>
      <c r="I628">
        <v>83.57</v>
      </c>
    </row>
    <row r="629" spans="1:9" x14ac:dyDescent="0.3">
      <c r="A629" t="s">
        <v>844</v>
      </c>
      <c r="B629" s="1">
        <v>45557</v>
      </c>
      <c r="C629" t="s">
        <v>25</v>
      </c>
      <c r="D629" t="s">
        <v>32</v>
      </c>
      <c r="E629" t="s">
        <v>33</v>
      </c>
      <c r="F629" t="s">
        <v>845</v>
      </c>
      <c r="G629">
        <v>3153.62</v>
      </c>
      <c r="H629">
        <v>2</v>
      </c>
      <c r="I629">
        <v>134.21</v>
      </c>
    </row>
    <row r="630" spans="1:9" x14ac:dyDescent="0.3">
      <c r="A630" t="s">
        <v>846</v>
      </c>
      <c r="B630" s="1">
        <v>45577</v>
      </c>
      <c r="C630" t="s">
        <v>28</v>
      </c>
      <c r="D630" t="s">
        <v>32</v>
      </c>
      <c r="E630" t="s">
        <v>39</v>
      </c>
      <c r="F630" t="s">
        <v>154</v>
      </c>
      <c r="G630">
        <v>747.97</v>
      </c>
      <c r="H630">
        <v>5</v>
      </c>
      <c r="I630">
        <v>-36.340000000000003</v>
      </c>
    </row>
    <row r="631" spans="1:9" x14ac:dyDescent="0.3">
      <c r="A631" t="s">
        <v>847</v>
      </c>
      <c r="B631" s="1">
        <v>45320</v>
      </c>
      <c r="C631" t="s">
        <v>17</v>
      </c>
      <c r="D631" t="s">
        <v>32</v>
      </c>
      <c r="E631" t="s">
        <v>33</v>
      </c>
      <c r="F631" t="s">
        <v>13</v>
      </c>
      <c r="G631">
        <v>1388.82</v>
      </c>
      <c r="H631">
        <v>4</v>
      </c>
      <c r="I631">
        <v>309.73</v>
      </c>
    </row>
    <row r="632" spans="1:9" x14ac:dyDescent="0.3">
      <c r="A632" t="s">
        <v>848</v>
      </c>
      <c r="B632" s="1">
        <v>45840</v>
      </c>
      <c r="C632" t="s">
        <v>17</v>
      </c>
      <c r="D632" t="s">
        <v>21</v>
      </c>
      <c r="E632" t="s">
        <v>29</v>
      </c>
      <c r="F632" t="s">
        <v>34</v>
      </c>
      <c r="G632">
        <v>1237.46</v>
      </c>
      <c r="H632">
        <v>3</v>
      </c>
      <c r="I632">
        <v>309.14</v>
      </c>
    </row>
    <row r="633" spans="1:9" x14ac:dyDescent="0.3">
      <c r="A633" t="s">
        <v>849</v>
      </c>
      <c r="B633" s="1">
        <v>45784</v>
      </c>
      <c r="C633" t="s">
        <v>25</v>
      </c>
      <c r="D633" t="s">
        <v>21</v>
      </c>
      <c r="E633" t="s">
        <v>36</v>
      </c>
      <c r="F633" t="s">
        <v>438</v>
      </c>
      <c r="G633">
        <v>3956.05</v>
      </c>
      <c r="H633">
        <v>1</v>
      </c>
      <c r="I633">
        <v>-305.99</v>
      </c>
    </row>
    <row r="634" spans="1:9" x14ac:dyDescent="0.3">
      <c r="A634" t="s">
        <v>850</v>
      </c>
      <c r="B634" s="1">
        <v>45783</v>
      </c>
      <c r="C634" t="s">
        <v>10</v>
      </c>
      <c r="D634" t="s">
        <v>11</v>
      </c>
      <c r="E634" t="s">
        <v>18</v>
      </c>
      <c r="F634" t="s">
        <v>74</v>
      </c>
      <c r="G634">
        <v>2586.83</v>
      </c>
      <c r="H634">
        <v>4</v>
      </c>
      <c r="I634">
        <v>-90.75</v>
      </c>
    </row>
    <row r="635" spans="1:9" x14ac:dyDescent="0.3">
      <c r="A635" t="s">
        <v>851</v>
      </c>
      <c r="B635" s="1">
        <v>45488</v>
      </c>
      <c r="C635" t="s">
        <v>25</v>
      </c>
      <c r="D635" t="s">
        <v>21</v>
      </c>
      <c r="E635" t="s">
        <v>29</v>
      </c>
      <c r="F635" t="s">
        <v>232</v>
      </c>
      <c r="G635">
        <v>566.1</v>
      </c>
      <c r="H635">
        <v>1</v>
      </c>
      <c r="I635">
        <v>157.91999999999999</v>
      </c>
    </row>
    <row r="636" spans="1:9" x14ac:dyDescent="0.3">
      <c r="A636" t="s">
        <v>852</v>
      </c>
      <c r="B636" s="1">
        <v>45791</v>
      </c>
      <c r="C636" t="s">
        <v>10</v>
      </c>
      <c r="D636" t="s">
        <v>21</v>
      </c>
      <c r="E636" t="s">
        <v>22</v>
      </c>
      <c r="F636" t="s">
        <v>187</v>
      </c>
      <c r="G636">
        <v>1088.3599999999999</v>
      </c>
      <c r="H636">
        <v>9</v>
      </c>
      <c r="I636">
        <v>33.35</v>
      </c>
    </row>
    <row r="637" spans="1:9" x14ac:dyDescent="0.3">
      <c r="A637" t="s">
        <v>853</v>
      </c>
      <c r="B637" s="1">
        <v>45906</v>
      </c>
      <c r="C637" t="s">
        <v>28</v>
      </c>
      <c r="D637" t="s">
        <v>32</v>
      </c>
      <c r="E637" t="s">
        <v>33</v>
      </c>
      <c r="F637" t="s">
        <v>70</v>
      </c>
      <c r="G637">
        <v>2577.67</v>
      </c>
      <c r="H637">
        <v>10</v>
      </c>
      <c r="I637">
        <v>-197.74</v>
      </c>
    </row>
    <row r="638" spans="1:9" x14ac:dyDescent="0.3">
      <c r="A638" t="s">
        <v>854</v>
      </c>
      <c r="B638" s="1">
        <v>45717</v>
      </c>
      <c r="C638" t="s">
        <v>17</v>
      </c>
      <c r="D638" t="s">
        <v>21</v>
      </c>
      <c r="E638" t="s">
        <v>29</v>
      </c>
      <c r="F638" t="s">
        <v>154</v>
      </c>
      <c r="G638">
        <v>4047.62</v>
      </c>
      <c r="H638">
        <v>6</v>
      </c>
      <c r="I638">
        <v>1001.31</v>
      </c>
    </row>
    <row r="639" spans="1:9" x14ac:dyDescent="0.3">
      <c r="A639" t="s">
        <v>855</v>
      </c>
      <c r="B639" s="1">
        <v>45722</v>
      </c>
      <c r="C639" t="s">
        <v>10</v>
      </c>
      <c r="D639" t="s">
        <v>21</v>
      </c>
      <c r="E639" t="s">
        <v>22</v>
      </c>
      <c r="F639" t="s">
        <v>497</v>
      </c>
      <c r="G639">
        <v>2067.33</v>
      </c>
      <c r="H639">
        <v>1</v>
      </c>
      <c r="I639">
        <v>94.1</v>
      </c>
    </row>
    <row r="640" spans="1:9" x14ac:dyDescent="0.3">
      <c r="A640" t="s">
        <v>856</v>
      </c>
      <c r="B640" s="1">
        <v>45345</v>
      </c>
      <c r="C640" t="s">
        <v>25</v>
      </c>
      <c r="D640" t="s">
        <v>11</v>
      </c>
      <c r="E640" t="s">
        <v>12</v>
      </c>
      <c r="F640" t="s">
        <v>97</v>
      </c>
      <c r="G640">
        <v>3338.89</v>
      </c>
      <c r="H640">
        <v>8</v>
      </c>
      <c r="I640">
        <v>-238.25</v>
      </c>
    </row>
    <row r="641" spans="1:9" x14ac:dyDescent="0.3">
      <c r="A641" t="s">
        <v>857</v>
      </c>
      <c r="B641" s="1">
        <v>45741</v>
      </c>
      <c r="C641" t="s">
        <v>10</v>
      </c>
      <c r="D641" t="s">
        <v>21</v>
      </c>
      <c r="E641" t="s">
        <v>22</v>
      </c>
      <c r="F641" t="s">
        <v>168</v>
      </c>
      <c r="G641">
        <v>342.8</v>
      </c>
      <c r="H641">
        <v>1</v>
      </c>
      <c r="I641">
        <v>60.92</v>
      </c>
    </row>
    <row r="642" spans="1:9" x14ac:dyDescent="0.3">
      <c r="A642" t="s">
        <v>858</v>
      </c>
      <c r="B642" s="1">
        <v>45991</v>
      </c>
      <c r="C642" t="s">
        <v>10</v>
      </c>
      <c r="D642" t="s">
        <v>11</v>
      </c>
      <c r="E642" t="s">
        <v>12</v>
      </c>
      <c r="F642" t="s">
        <v>443</v>
      </c>
      <c r="G642">
        <v>1803.22</v>
      </c>
      <c r="H642">
        <v>6</v>
      </c>
      <c r="I642">
        <v>486.38</v>
      </c>
    </row>
    <row r="643" spans="1:9" x14ac:dyDescent="0.3">
      <c r="A643" t="s">
        <v>859</v>
      </c>
      <c r="B643" s="1">
        <v>45872</v>
      </c>
      <c r="C643" t="s">
        <v>10</v>
      </c>
      <c r="D643" t="s">
        <v>11</v>
      </c>
      <c r="E643" t="s">
        <v>12</v>
      </c>
      <c r="F643" t="s">
        <v>368</v>
      </c>
      <c r="G643">
        <v>3300.53</v>
      </c>
      <c r="H643">
        <v>6</v>
      </c>
      <c r="I643">
        <v>222.29</v>
      </c>
    </row>
    <row r="644" spans="1:9" x14ac:dyDescent="0.3">
      <c r="A644" t="s">
        <v>860</v>
      </c>
      <c r="B644" s="1">
        <v>45988</v>
      </c>
      <c r="C644" t="s">
        <v>25</v>
      </c>
      <c r="D644" t="s">
        <v>11</v>
      </c>
      <c r="E644" t="s">
        <v>12</v>
      </c>
      <c r="F644" t="s">
        <v>157</v>
      </c>
      <c r="G644">
        <v>592.6</v>
      </c>
      <c r="H644">
        <v>9</v>
      </c>
      <c r="I644">
        <v>52.67</v>
      </c>
    </row>
    <row r="645" spans="1:9" x14ac:dyDescent="0.3">
      <c r="A645" t="s">
        <v>861</v>
      </c>
      <c r="B645" s="1">
        <v>45713</v>
      </c>
      <c r="C645" t="s">
        <v>25</v>
      </c>
      <c r="D645" t="s">
        <v>11</v>
      </c>
      <c r="E645" t="s">
        <v>48</v>
      </c>
      <c r="F645" t="s">
        <v>569</v>
      </c>
      <c r="G645">
        <v>2818.33</v>
      </c>
      <c r="H645">
        <v>5</v>
      </c>
      <c r="I645">
        <v>407.5</v>
      </c>
    </row>
    <row r="646" spans="1:9" x14ac:dyDescent="0.3">
      <c r="A646" t="s">
        <v>862</v>
      </c>
      <c r="B646" s="1">
        <v>45960</v>
      </c>
      <c r="C646" t="s">
        <v>10</v>
      </c>
      <c r="D646" t="s">
        <v>32</v>
      </c>
      <c r="E646" t="s">
        <v>39</v>
      </c>
      <c r="F646" t="s">
        <v>863</v>
      </c>
      <c r="G646">
        <v>314.79000000000002</v>
      </c>
      <c r="H646">
        <v>6</v>
      </c>
      <c r="I646">
        <v>-26.66</v>
      </c>
    </row>
    <row r="647" spans="1:9" x14ac:dyDescent="0.3">
      <c r="A647" t="s">
        <v>864</v>
      </c>
      <c r="B647" s="1">
        <v>45769</v>
      </c>
      <c r="C647" t="s">
        <v>25</v>
      </c>
      <c r="D647" t="s">
        <v>11</v>
      </c>
      <c r="E647" t="s">
        <v>18</v>
      </c>
      <c r="F647" t="s">
        <v>576</v>
      </c>
      <c r="G647">
        <v>766.96</v>
      </c>
      <c r="H647">
        <v>5</v>
      </c>
      <c r="I647">
        <v>75.510000000000005</v>
      </c>
    </row>
    <row r="648" spans="1:9" x14ac:dyDescent="0.3">
      <c r="A648" t="s">
        <v>865</v>
      </c>
      <c r="B648" s="1">
        <v>45549</v>
      </c>
      <c r="C648" t="s">
        <v>10</v>
      </c>
      <c r="D648" t="s">
        <v>32</v>
      </c>
      <c r="E648" t="s">
        <v>73</v>
      </c>
      <c r="F648" t="s">
        <v>40</v>
      </c>
      <c r="G648">
        <v>4706</v>
      </c>
      <c r="H648">
        <v>5</v>
      </c>
      <c r="I648">
        <v>-178.2</v>
      </c>
    </row>
    <row r="649" spans="1:9" x14ac:dyDescent="0.3">
      <c r="A649" t="s">
        <v>866</v>
      </c>
      <c r="B649" s="1">
        <v>45519</v>
      </c>
      <c r="C649" t="s">
        <v>17</v>
      </c>
      <c r="D649" t="s">
        <v>11</v>
      </c>
      <c r="E649" t="s">
        <v>48</v>
      </c>
      <c r="F649" t="s">
        <v>404</v>
      </c>
      <c r="G649">
        <v>2970.17</v>
      </c>
      <c r="H649">
        <v>7</v>
      </c>
      <c r="I649">
        <v>632.24</v>
      </c>
    </row>
    <row r="650" spans="1:9" x14ac:dyDescent="0.3">
      <c r="A650" t="s">
        <v>867</v>
      </c>
      <c r="B650" s="1">
        <v>45782</v>
      </c>
      <c r="C650" t="s">
        <v>28</v>
      </c>
      <c r="D650" t="s">
        <v>11</v>
      </c>
      <c r="E650" t="s">
        <v>48</v>
      </c>
      <c r="F650" t="s">
        <v>252</v>
      </c>
      <c r="G650">
        <v>3232.22</v>
      </c>
      <c r="H650">
        <v>9</v>
      </c>
      <c r="I650">
        <v>768.96</v>
      </c>
    </row>
    <row r="651" spans="1:9" x14ac:dyDescent="0.3">
      <c r="A651" t="s">
        <v>868</v>
      </c>
      <c r="B651" s="1">
        <v>45771</v>
      </c>
      <c r="C651" t="s">
        <v>10</v>
      </c>
      <c r="D651" t="s">
        <v>11</v>
      </c>
      <c r="E651" t="s">
        <v>12</v>
      </c>
      <c r="F651" t="s">
        <v>261</v>
      </c>
      <c r="G651">
        <v>257.45999999999998</v>
      </c>
      <c r="H651">
        <v>9</v>
      </c>
      <c r="I651">
        <v>25.73</v>
      </c>
    </row>
    <row r="652" spans="1:9" x14ac:dyDescent="0.3">
      <c r="A652" t="s">
        <v>869</v>
      </c>
      <c r="B652" s="1">
        <v>45509</v>
      </c>
      <c r="C652" t="s">
        <v>28</v>
      </c>
      <c r="D652" t="s">
        <v>32</v>
      </c>
      <c r="E652" t="s">
        <v>39</v>
      </c>
      <c r="F652" t="s">
        <v>412</v>
      </c>
      <c r="G652">
        <v>930.75</v>
      </c>
      <c r="H652">
        <v>8</v>
      </c>
      <c r="I652">
        <v>52.76</v>
      </c>
    </row>
    <row r="653" spans="1:9" x14ac:dyDescent="0.3">
      <c r="A653" t="s">
        <v>870</v>
      </c>
      <c r="B653" s="1">
        <v>45418</v>
      </c>
      <c r="C653" t="s">
        <v>10</v>
      </c>
      <c r="D653" t="s">
        <v>21</v>
      </c>
      <c r="E653" t="s">
        <v>22</v>
      </c>
      <c r="F653" t="s">
        <v>103</v>
      </c>
      <c r="G653">
        <v>825.41</v>
      </c>
      <c r="H653">
        <v>2</v>
      </c>
      <c r="I653">
        <v>214.17</v>
      </c>
    </row>
    <row r="654" spans="1:9" x14ac:dyDescent="0.3">
      <c r="A654" t="s">
        <v>871</v>
      </c>
      <c r="B654" s="1">
        <v>45981</v>
      </c>
      <c r="C654" t="s">
        <v>10</v>
      </c>
      <c r="D654" t="s">
        <v>11</v>
      </c>
      <c r="E654" t="s">
        <v>18</v>
      </c>
      <c r="F654" t="s">
        <v>226</v>
      </c>
      <c r="G654">
        <v>2548.36</v>
      </c>
      <c r="H654">
        <v>7</v>
      </c>
      <c r="I654">
        <v>40.119999999999997</v>
      </c>
    </row>
    <row r="655" spans="1:9" x14ac:dyDescent="0.3">
      <c r="A655" t="s">
        <v>872</v>
      </c>
      <c r="B655" s="1">
        <v>45944</v>
      </c>
      <c r="C655" t="s">
        <v>28</v>
      </c>
      <c r="D655" t="s">
        <v>11</v>
      </c>
      <c r="E655" t="s">
        <v>12</v>
      </c>
      <c r="F655" t="s">
        <v>246</v>
      </c>
      <c r="G655">
        <v>2531.65</v>
      </c>
      <c r="H655">
        <v>10</v>
      </c>
      <c r="I655">
        <v>665.01</v>
      </c>
    </row>
    <row r="656" spans="1:9" x14ac:dyDescent="0.3">
      <c r="A656" t="s">
        <v>873</v>
      </c>
      <c r="B656" s="1">
        <v>45447</v>
      </c>
      <c r="C656" t="s">
        <v>10</v>
      </c>
      <c r="D656" t="s">
        <v>21</v>
      </c>
      <c r="E656" t="s">
        <v>29</v>
      </c>
      <c r="F656" t="s">
        <v>202</v>
      </c>
      <c r="G656">
        <v>4150.41</v>
      </c>
      <c r="H656">
        <v>1</v>
      </c>
      <c r="I656">
        <v>-194.26</v>
      </c>
    </row>
    <row r="657" spans="1:9" x14ac:dyDescent="0.3">
      <c r="A657" t="s">
        <v>874</v>
      </c>
      <c r="B657" s="1">
        <v>45682</v>
      </c>
      <c r="C657" t="s">
        <v>28</v>
      </c>
      <c r="D657" t="s">
        <v>32</v>
      </c>
      <c r="E657" t="s">
        <v>33</v>
      </c>
      <c r="F657" t="s">
        <v>875</v>
      </c>
      <c r="G657">
        <v>1830.82</v>
      </c>
      <c r="H657">
        <v>8</v>
      </c>
      <c r="I657">
        <v>135.72999999999999</v>
      </c>
    </row>
    <row r="658" spans="1:9" x14ac:dyDescent="0.3">
      <c r="A658" t="s">
        <v>876</v>
      </c>
      <c r="B658" s="1">
        <v>45903</v>
      </c>
      <c r="C658" t="s">
        <v>10</v>
      </c>
      <c r="D658" t="s">
        <v>11</v>
      </c>
      <c r="E658" t="s">
        <v>18</v>
      </c>
      <c r="F658" t="s">
        <v>764</v>
      </c>
      <c r="G658">
        <v>4332.57</v>
      </c>
      <c r="H658">
        <v>9</v>
      </c>
      <c r="I658">
        <v>468.04</v>
      </c>
    </row>
    <row r="659" spans="1:9" x14ac:dyDescent="0.3">
      <c r="A659" t="s">
        <v>877</v>
      </c>
      <c r="B659" s="1">
        <v>45690</v>
      </c>
      <c r="C659" t="s">
        <v>17</v>
      </c>
      <c r="D659" t="s">
        <v>21</v>
      </c>
      <c r="E659" t="s">
        <v>36</v>
      </c>
      <c r="F659" t="s">
        <v>309</v>
      </c>
      <c r="G659">
        <v>3105.74</v>
      </c>
      <c r="H659">
        <v>9</v>
      </c>
      <c r="I659">
        <v>853.1</v>
      </c>
    </row>
    <row r="660" spans="1:9" x14ac:dyDescent="0.3">
      <c r="A660" t="s">
        <v>878</v>
      </c>
      <c r="B660" s="1">
        <v>45390</v>
      </c>
      <c r="C660" t="s">
        <v>17</v>
      </c>
      <c r="D660" t="s">
        <v>11</v>
      </c>
      <c r="E660" t="s">
        <v>12</v>
      </c>
      <c r="F660" t="s">
        <v>42</v>
      </c>
      <c r="G660">
        <v>1349.24</v>
      </c>
      <c r="H660">
        <v>4</v>
      </c>
      <c r="I660">
        <v>112.07</v>
      </c>
    </row>
    <row r="661" spans="1:9" x14ac:dyDescent="0.3">
      <c r="A661" t="s">
        <v>879</v>
      </c>
      <c r="B661" s="1">
        <v>45911</v>
      </c>
      <c r="C661" t="s">
        <v>17</v>
      </c>
      <c r="D661" t="s">
        <v>32</v>
      </c>
      <c r="E661" t="s">
        <v>39</v>
      </c>
      <c r="F661" t="s">
        <v>533</v>
      </c>
      <c r="G661">
        <v>1375.68</v>
      </c>
      <c r="H661">
        <v>3</v>
      </c>
      <c r="I661">
        <v>71.209999999999994</v>
      </c>
    </row>
    <row r="662" spans="1:9" x14ac:dyDescent="0.3">
      <c r="A662" t="s">
        <v>880</v>
      </c>
      <c r="B662" s="1">
        <v>45778</v>
      </c>
      <c r="C662" t="s">
        <v>28</v>
      </c>
      <c r="D662" t="s">
        <v>11</v>
      </c>
      <c r="E662" t="s">
        <v>48</v>
      </c>
      <c r="F662" t="s">
        <v>309</v>
      </c>
      <c r="G662">
        <v>188.41</v>
      </c>
      <c r="H662">
        <v>2</v>
      </c>
      <c r="I662">
        <v>12.67</v>
      </c>
    </row>
    <row r="663" spans="1:9" x14ac:dyDescent="0.3">
      <c r="A663" t="s">
        <v>881</v>
      </c>
      <c r="B663" s="1">
        <v>45956</v>
      </c>
      <c r="C663" t="s">
        <v>17</v>
      </c>
      <c r="D663" t="s">
        <v>11</v>
      </c>
      <c r="E663" t="s">
        <v>48</v>
      </c>
      <c r="F663" t="s">
        <v>694</v>
      </c>
      <c r="G663">
        <v>2335.2199999999998</v>
      </c>
      <c r="H663">
        <v>9</v>
      </c>
      <c r="I663">
        <v>477.46</v>
      </c>
    </row>
    <row r="664" spans="1:9" x14ac:dyDescent="0.3">
      <c r="A664" t="s">
        <v>882</v>
      </c>
      <c r="B664" s="1">
        <v>45319</v>
      </c>
      <c r="C664" t="s">
        <v>28</v>
      </c>
      <c r="D664" t="s">
        <v>21</v>
      </c>
      <c r="E664" t="s">
        <v>29</v>
      </c>
      <c r="F664" t="s">
        <v>63</v>
      </c>
      <c r="G664">
        <v>684.1</v>
      </c>
      <c r="H664">
        <v>8</v>
      </c>
      <c r="I664">
        <v>86.97</v>
      </c>
    </row>
    <row r="665" spans="1:9" x14ac:dyDescent="0.3">
      <c r="A665" t="s">
        <v>883</v>
      </c>
      <c r="B665" s="1">
        <v>45457</v>
      </c>
      <c r="C665" t="s">
        <v>10</v>
      </c>
      <c r="D665" t="s">
        <v>21</v>
      </c>
      <c r="E665" t="s">
        <v>29</v>
      </c>
      <c r="F665" t="s">
        <v>545</v>
      </c>
      <c r="G665">
        <v>1809.2</v>
      </c>
      <c r="H665">
        <v>2</v>
      </c>
      <c r="I665">
        <v>258.98</v>
      </c>
    </row>
    <row r="666" spans="1:9" x14ac:dyDescent="0.3">
      <c r="A666" t="s">
        <v>884</v>
      </c>
      <c r="B666" s="1">
        <v>45847</v>
      </c>
      <c r="C666" t="s">
        <v>28</v>
      </c>
      <c r="D666" t="s">
        <v>21</v>
      </c>
      <c r="E666" t="s">
        <v>29</v>
      </c>
      <c r="F666" t="s">
        <v>46</v>
      </c>
      <c r="G666">
        <v>2853.67</v>
      </c>
      <c r="H666">
        <v>4</v>
      </c>
      <c r="I666">
        <v>585.99</v>
      </c>
    </row>
    <row r="667" spans="1:9" x14ac:dyDescent="0.3">
      <c r="A667" t="s">
        <v>885</v>
      </c>
      <c r="B667" s="1">
        <v>45371</v>
      </c>
      <c r="C667" t="s">
        <v>10</v>
      </c>
      <c r="D667" t="s">
        <v>11</v>
      </c>
      <c r="E667" t="s">
        <v>18</v>
      </c>
      <c r="F667" t="s">
        <v>886</v>
      </c>
      <c r="G667">
        <v>2926.53</v>
      </c>
      <c r="H667">
        <v>10</v>
      </c>
      <c r="I667">
        <v>-147.79</v>
      </c>
    </row>
    <row r="668" spans="1:9" x14ac:dyDescent="0.3">
      <c r="A668" t="s">
        <v>887</v>
      </c>
      <c r="B668" s="1">
        <v>46014</v>
      </c>
      <c r="C668" t="s">
        <v>17</v>
      </c>
      <c r="D668" t="s">
        <v>32</v>
      </c>
      <c r="E668" t="s">
        <v>73</v>
      </c>
      <c r="F668" t="s">
        <v>368</v>
      </c>
      <c r="G668">
        <v>391.69</v>
      </c>
      <c r="H668">
        <v>6</v>
      </c>
      <c r="I668">
        <v>-4.07</v>
      </c>
    </row>
    <row r="669" spans="1:9" x14ac:dyDescent="0.3">
      <c r="A669" t="s">
        <v>888</v>
      </c>
      <c r="B669" s="1">
        <v>45618</v>
      </c>
      <c r="C669" t="s">
        <v>28</v>
      </c>
      <c r="D669" t="s">
        <v>32</v>
      </c>
      <c r="E669" t="s">
        <v>33</v>
      </c>
      <c r="F669" t="s">
        <v>863</v>
      </c>
      <c r="G669">
        <v>3750.31</v>
      </c>
      <c r="H669">
        <v>2</v>
      </c>
      <c r="I669">
        <v>752.73</v>
      </c>
    </row>
    <row r="670" spans="1:9" x14ac:dyDescent="0.3">
      <c r="A670" t="s">
        <v>889</v>
      </c>
      <c r="B670" s="1">
        <v>45607</v>
      </c>
      <c r="C670" t="s">
        <v>25</v>
      </c>
      <c r="D670" t="s">
        <v>32</v>
      </c>
      <c r="E670" t="s">
        <v>39</v>
      </c>
      <c r="F670" t="s">
        <v>80</v>
      </c>
      <c r="G670">
        <v>261.75</v>
      </c>
      <c r="H670">
        <v>7</v>
      </c>
      <c r="I670">
        <v>13.41</v>
      </c>
    </row>
    <row r="671" spans="1:9" x14ac:dyDescent="0.3">
      <c r="A671" t="s">
        <v>890</v>
      </c>
      <c r="B671" s="1">
        <v>45876</v>
      </c>
      <c r="C671" t="s">
        <v>10</v>
      </c>
      <c r="D671" t="s">
        <v>21</v>
      </c>
      <c r="E671" t="s">
        <v>22</v>
      </c>
      <c r="F671" t="s">
        <v>42</v>
      </c>
      <c r="G671">
        <v>1670.61</v>
      </c>
      <c r="H671">
        <v>4</v>
      </c>
      <c r="I671">
        <v>71.709999999999994</v>
      </c>
    </row>
    <row r="672" spans="1:9" x14ac:dyDescent="0.3">
      <c r="A672" t="s">
        <v>891</v>
      </c>
      <c r="B672" s="1">
        <v>45981</v>
      </c>
      <c r="C672" t="s">
        <v>10</v>
      </c>
      <c r="D672" t="s">
        <v>11</v>
      </c>
      <c r="E672" t="s">
        <v>48</v>
      </c>
      <c r="F672" t="s">
        <v>578</v>
      </c>
      <c r="G672">
        <v>1630.79</v>
      </c>
      <c r="H672">
        <v>1</v>
      </c>
      <c r="I672">
        <v>-123.42</v>
      </c>
    </row>
    <row r="673" spans="1:9" x14ac:dyDescent="0.3">
      <c r="A673" t="s">
        <v>892</v>
      </c>
      <c r="B673" s="1">
        <v>45679</v>
      </c>
      <c r="C673" t="s">
        <v>28</v>
      </c>
      <c r="D673" t="s">
        <v>32</v>
      </c>
      <c r="E673" t="s">
        <v>39</v>
      </c>
      <c r="F673" t="s">
        <v>349</v>
      </c>
      <c r="G673">
        <v>4738.67</v>
      </c>
      <c r="H673">
        <v>1</v>
      </c>
      <c r="I673">
        <v>450.31</v>
      </c>
    </row>
    <row r="674" spans="1:9" x14ac:dyDescent="0.3">
      <c r="A674" t="s">
        <v>893</v>
      </c>
      <c r="B674" s="1">
        <v>45722</v>
      </c>
      <c r="C674" t="s">
        <v>25</v>
      </c>
      <c r="D674" t="s">
        <v>32</v>
      </c>
      <c r="E674" t="s">
        <v>39</v>
      </c>
      <c r="F674" t="s">
        <v>340</v>
      </c>
      <c r="G674">
        <v>4672.21</v>
      </c>
      <c r="H674">
        <v>5</v>
      </c>
      <c r="I674">
        <v>1047.33</v>
      </c>
    </row>
    <row r="675" spans="1:9" x14ac:dyDescent="0.3">
      <c r="A675" t="s">
        <v>894</v>
      </c>
      <c r="B675" s="1">
        <v>45318</v>
      </c>
      <c r="C675" t="s">
        <v>17</v>
      </c>
      <c r="D675" t="s">
        <v>32</v>
      </c>
      <c r="E675" t="s">
        <v>33</v>
      </c>
      <c r="F675" t="s">
        <v>641</v>
      </c>
      <c r="G675">
        <v>4848.72</v>
      </c>
      <c r="H675">
        <v>8</v>
      </c>
      <c r="I675">
        <v>-438.55</v>
      </c>
    </row>
    <row r="676" spans="1:9" x14ac:dyDescent="0.3">
      <c r="A676" t="s">
        <v>895</v>
      </c>
      <c r="B676" s="1">
        <v>45433</v>
      </c>
      <c r="C676" t="s">
        <v>28</v>
      </c>
      <c r="D676" t="s">
        <v>11</v>
      </c>
      <c r="E676" t="s">
        <v>18</v>
      </c>
      <c r="F676" t="s">
        <v>497</v>
      </c>
      <c r="G676">
        <v>1595.63</v>
      </c>
      <c r="H676">
        <v>4</v>
      </c>
      <c r="I676">
        <v>309.42</v>
      </c>
    </row>
    <row r="677" spans="1:9" x14ac:dyDescent="0.3">
      <c r="A677" t="s">
        <v>896</v>
      </c>
      <c r="B677" s="1">
        <v>45830</v>
      </c>
      <c r="C677" t="s">
        <v>28</v>
      </c>
      <c r="D677" t="s">
        <v>21</v>
      </c>
      <c r="E677" t="s">
        <v>29</v>
      </c>
      <c r="F677" t="s">
        <v>735</v>
      </c>
      <c r="G677">
        <v>546.84</v>
      </c>
      <c r="H677">
        <v>6</v>
      </c>
      <c r="I677">
        <v>162.31</v>
      </c>
    </row>
    <row r="678" spans="1:9" x14ac:dyDescent="0.3">
      <c r="A678" t="s">
        <v>897</v>
      </c>
      <c r="B678" s="1">
        <v>45827</v>
      </c>
      <c r="C678" t="s">
        <v>10</v>
      </c>
      <c r="D678" t="s">
        <v>32</v>
      </c>
      <c r="E678" t="s">
        <v>73</v>
      </c>
      <c r="F678" t="s">
        <v>898</v>
      </c>
      <c r="G678">
        <v>3479.2</v>
      </c>
      <c r="H678">
        <v>2</v>
      </c>
      <c r="I678">
        <v>-205.92</v>
      </c>
    </row>
    <row r="679" spans="1:9" x14ac:dyDescent="0.3">
      <c r="A679" t="s">
        <v>899</v>
      </c>
      <c r="B679" s="1">
        <v>45844</v>
      </c>
      <c r="C679" t="s">
        <v>10</v>
      </c>
      <c r="D679" t="s">
        <v>21</v>
      </c>
      <c r="E679" t="s">
        <v>22</v>
      </c>
      <c r="F679" t="s">
        <v>53</v>
      </c>
      <c r="G679">
        <v>2471.64</v>
      </c>
      <c r="H679">
        <v>6</v>
      </c>
      <c r="I679">
        <v>286.70999999999998</v>
      </c>
    </row>
    <row r="680" spans="1:9" x14ac:dyDescent="0.3">
      <c r="A680" t="s">
        <v>900</v>
      </c>
      <c r="B680" s="1">
        <v>45950</v>
      </c>
      <c r="C680" t="s">
        <v>28</v>
      </c>
      <c r="D680" t="s">
        <v>32</v>
      </c>
      <c r="E680" t="s">
        <v>39</v>
      </c>
      <c r="F680" t="s">
        <v>681</v>
      </c>
      <c r="G680">
        <v>217.1</v>
      </c>
      <c r="H680">
        <v>2</v>
      </c>
      <c r="I680">
        <v>34.51</v>
      </c>
    </row>
    <row r="681" spans="1:9" x14ac:dyDescent="0.3">
      <c r="A681" t="s">
        <v>901</v>
      </c>
      <c r="B681" s="1">
        <v>45437</v>
      </c>
      <c r="C681" t="s">
        <v>28</v>
      </c>
      <c r="D681" t="s">
        <v>32</v>
      </c>
      <c r="E681" t="s">
        <v>33</v>
      </c>
      <c r="F681" t="s">
        <v>242</v>
      </c>
      <c r="G681">
        <v>4889.95</v>
      </c>
      <c r="H681">
        <v>9</v>
      </c>
      <c r="I681">
        <v>727.52</v>
      </c>
    </row>
    <row r="682" spans="1:9" x14ac:dyDescent="0.3">
      <c r="A682" t="s">
        <v>902</v>
      </c>
      <c r="B682" s="1">
        <v>45599</v>
      </c>
      <c r="C682" t="s">
        <v>28</v>
      </c>
      <c r="D682" t="s">
        <v>32</v>
      </c>
      <c r="E682" t="s">
        <v>39</v>
      </c>
      <c r="F682" t="s">
        <v>46</v>
      </c>
      <c r="G682">
        <v>3048.23</v>
      </c>
      <c r="H682">
        <v>3</v>
      </c>
      <c r="I682">
        <v>-119.28</v>
      </c>
    </row>
    <row r="683" spans="1:9" x14ac:dyDescent="0.3">
      <c r="A683" t="s">
        <v>903</v>
      </c>
      <c r="B683" s="1">
        <v>45529</v>
      </c>
      <c r="C683" t="s">
        <v>28</v>
      </c>
      <c r="D683" t="s">
        <v>11</v>
      </c>
      <c r="E683" t="s">
        <v>12</v>
      </c>
      <c r="F683" t="s">
        <v>125</v>
      </c>
      <c r="G683">
        <v>4254.53</v>
      </c>
      <c r="H683">
        <v>2</v>
      </c>
      <c r="I683">
        <v>135.22999999999999</v>
      </c>
    </row>
    <row r="684" spans="1:9" x14ac:dyDescent="0.3">
      <c r="A684" t="s">
        <v>904</v>
      </c>
      <c r="B684" s="1">
        <v>45309</v>
      </c>
      <c r="C684" t="s">
        <v>28</v>
      </c>
      <c r="D684" t="s">
        <v>21</v>
      </c>
      <c r="E684" t="s">
        <v>36</v>
      </c>
      <c r="F684" t="s">
        <v>166</v>
      </c>
      <c r="G684">
        <v>3182.73</v>
      </c>
      <c r="H684">
        <v>6</v>
      </c>
      <c r="I684">
        <v>946.42</v>
      </c>
    </row>
    <row r="685" spans="1:9" x14ac:dyDescent="0.3">
      <c r="A685" t="s">
        <v>905</v>
      </c>
      <c r="B685" s="1">
        <v>45752</v>
      </c>
      <c r="C685" t="s">
        <v>10</v>
      </c>
      <c r="D685" t="s">
        <v>21</v>
      </c>
      <c r="E685" t="s">
        <v>36</v>
      </c>
      <c r="F685" t="s">
        <v>288</v>
      </c>
      <c r="G685">
        <v>2852.01</v>
      </c>
      <c r="H685">
        <v>1</v>
      </c>
      <c r="I685">
        <v>6.09</v>
      </c>
    </row>
    <row r="686" spans="1:9" x14ac:dyDescent="0.3">
      <c r="A686" t="s">
        <v>906</v>
      </c>
      <c r="B686" s="1">
        <v>45407</v>
      </c>
      <c r="C686" t="s">
        <v>28</v>
      </c>
      <c r="D686" t="s">
        <v>11</v>
      </c>
      <c r="E686" t="s">
        <v>18</v>
      </c>
      <c r="F686" t="s">
        <v>267</v>
      </c>
      <c r="G686">
        <v>2913.66</v>
      </c>
      <c r="H686">
        <v>2</v>
      </c>
      <c r="I686">
        <v>576.73</v>
      </c>
    </row>
    <row r="687" spans="1:9" x14ac:dyDescent="0.3">
      <c r="A687" t="s">
        <v>907</v>
      </c>
      <c r="B687" s="1">
        <v>45486</v>
      </c>
      <c r="C687" t="s">
        <v>17</v>
      </c>
      <c r="D687" t="s">
        <v>11</v>
      </c>
      <c r="E687" t="s">
        <v>12</v>
      </c>
      <c r="F687" t="s">
        <v>578</v>
      </c>
      <c r="G687">
        <v>3271.66</v>
      </c>
      <c r="H687">
        <v>6</v>
      </c>
      <c r="I687">
        <v>220.52</v>
      </c>
    </row>
    <row r="688" spans="1:9" x14ac:dyDescent="0.3">
      <c r="A688" t="s">
        <v>908</v>
      </c>
      <c r="B688" s="1">
        <v>45808</v>
      </c>
      <c r="C688" t="s">
        <v>17</v>
      </c>
      <c r="D688" t="s">
        <v>32</v>
      </c>
      <c r="E688" t="s">
        <v>39</v>
      </c>
      <c r="F688" t="s">
        <v>144</v>
      </c>
      <c r="G688">
        <v>3643.15</v>
      </c>
      <c r="H688">
        <v>6</v>
      </c>
      <c r="I688">
        <v>-63.9</v>
      </c>
    </row>
    <row r="689" spans="1:9" x14ac:dyDescent="0.3">
      <c r="A689" t="s">
        <v>909</v>
      </c>
      <c r="B689" s="1">
        <v>45514</v>
      </c>
      <c r="C689" t="s">
        <v>17</v>
      </c>
      <c r="D689" t="s">
        <v>11</v>
      </c>
      <c r="E689" t="s">
        <v>48</v>
      </c>
      <c r="F689" t="s">
        <v>296</v>
      </c>
      <c r="G689">
        <v>725.95</v>
      </c>
      <c r="H689">
        <v>9</v>
      </c>
      <c r="I689">
        <v>141.79</v>
      </c>
    </row>
    <row r="690" spans="1:9" x14ac:dyDescent="0.3">
      <c r="A690" t="s">
        <v>910</v>
      </c>
      <c r="B690" s="1">
        <v>45959</v>
      </c>
      <c r="C690" t="s">
        <v>25</v>
      </c>
      <c r="D690" t="s">
        <v>32</v>
      </c>
      <c r="E690" t="s">
        <v>73</v>
      </c>
      <c r="F690" t="s">
        <v>523</v>
      </c>
      <c r="G690">
        <v>536.67999999999995</v>
      </c>
      <c r="H690">
        <v>3</v>
      </c>
      <c r="I690">
        <v>-0.76</v>
      </c>
    </row>
    <row r="691" spans="1:9" x14ac:dyDescent="0.3">
      <c r="A691" t="s">
        <v>911</v>
      </c>
      <c r="B691" s="1">
        <v>45468</v>
      </c>
      <c r="C691" t="s">
        <v>10</v>
      </c>
      <c r="D691" t="s">
        <v>11</v>
      </c>
      <c r="E691" t="s">
        <v>48</v>
      </c>
      <c r="F691" t="s">
        <v>42</v>
      </c>
      <c r="G691">
        <v>749.41</v>
      </c>
      <c r="H691">
        <v>6</v>
      </c>
      <c r="I691">
        <v>-37.94</v>
      </c>
    </row>
    <row r="692" spans="1:9" x14ac:dyDescent="0.3">
      <c r="A692" t="s">
        <v>912</v>
      </c>
      <c r="B692" s="1">
        <v>45908</v>
      </c>
      <c r="C692" t="s">
        <v>17</v>
      </c>
      <c r="D692" t="s">
        <v>11</v>
      </c>
      <c r="E692" t="s">
        <v>48</v>
      </c>
      <c r="F692" t="s">
        <v>443</v>
      </c>
      <c r="G692">
        <v>952.17</v>
      </c>
      <c r="H692">
        <v>4</v>
      </c>
      <c r="I692">
        <v>217.67</v>
      </c>
    </row>
    <row r="693" spans="1:9" x14ac:dyDescent="0.3">
      <c r="A693" t="s">
        <v>913</v>
      </c>
      <c r="B693" s="1">
        <v>45892</v>
      </c>
      <c r="C693" t="s">
        <v>17</v>
      </c>
      <c r="D693" t="s">
        <v>11</v>
      </c>
      <c r="E693" t="s">
        <v>12</v>
      </c>
      <c r="F693" t="s">
        <v>412</v>
      </c>
      <c r="G693">
        <v>3729.3</v>
      </c>
      <c r="H693">
        <v>4</v>
      </c>
      <c r="I693">
        <v>-226.25</v>
      </c>
    </row>
    <row r="694" spans="1:9" x14ac:dyDescent="0.3">
      <c r="A694" t="s">
        <v>914</v>
      </c>
      <c r="B694" s="1">
        <v>45572</v>
      </c>
      <c r="C694" t="s">
        <v>28</v>
      </c>
      <c r="D694" t="s">
        <v>32</v>
      </c>
      <c r="E694" t="s">
        <v>73</v>
      </c>
      <c r="F694" t="s">
        <v>263</v>
      </c>
      <c r="G694">
        <v>650.39</v>
      </c>
      <c r="H694">
        <v>3</v>
      </c>
      <c r="I694">
        <v>107.04</v>
      </c>
    </row>
    <row r="695" spans="1:9" x14ac:dyDescent="0.3">
      <c r="A695" t="s">
        <v>915</v>
      </c>
      <c r="B695" s="1">
        <v>45361</v>
      </c>
      <c r="C695" t="s">
        <v>10</v>
      </c>
      <c r="D695" t="s">
        <v>32</v>
      </c>
      <c r="E695" t="s">
        <v>33</v>
      </c>
      <c r="F695" t="s">
        <v>845</v>
      </c>
      <c r="G695">
        <v>3373.99</v>
      </c>
      <c r="H695">
        <v>5</v>
      </c>
      <c r="I695">
        <v>83.82</v>
      </c>
    </row>
    <row r="696" spans="1:9" x14ac:dyDescent="0.3">
      <c r="A696" t="s">
        <v>916</v>
      </c>
      <c r="B696" s="1">
        <v>45345</v>
      </c>
      <c r="C696" t="s">
        <v>10</v>
      </c>
      <c r="D696" t="s">
        <v>32</v>
      </c>
      <c r="E696" t="s">
        <v>39</v>
      </c>
      <c r="F696" t="s">
        <v>173</v>
      </c>
      <c r="G696">
        <v>2879.74</v>
      </c>
      <c r="H696">
        <v>3</v>
      </c>
      <c r="I696">
        <v>837.26</v>
      </c>
    </row>
    <row r="697" spans="1:9" x14ac:dyDescent="0.3">
      <c r="A697" t="s">
        <v>917</v>
      </c>
      <c r="B697" s="1">
        <v>45720</v>
      </c>
      <c r="C697" t="s">
        <v>25</v>
      </c>
      <c r="D697" t="s">
        <v>21</v>
      </c>
      <c r="E697" t="s">
        <v>36</v>
      </c>
      <c r="F697" t="s">
        <v>131</v>
      </c>
      <c r="G697">
        <v>4377</v>
      </c>
      <c r="H697">
        <v>10</v>
      </c>
      <c r="I697">
        <v>1302.3800000000001</v>
      </c>
    </row>
    <row r="698" spans="1:9" x14ac:dyDescent="0.3">
      <c r="A698" t="s">
        <v>918</v>
      </c>
      <c r="B698" s="1">
        <v>45741</v>
      </c>
      <c r="C698" t="s">
        <v>25</v>
      </c>
      <c r="D698" t="s">
        <v>21</v>
      </c>
      <c r="E698" t="s">
        <v>36</v>
      </c>
      <c r="F698" t="s">
        <v>246</v>
      </c>
      <c r="G698">
        <v>1608.08</v>
      </c>
      <c r="H698">
        <v>4</v>
      </c>
      <c r="I698">
        <v>152.16</v>
      </c>
    </row>
    <row r="699" spans="1:9" x14ac:dyDescent="0.3">
      <c r="A699" t="s">
        <v>919</v>
      </c>
      <c r="B699" s="1">
        <v>45313</v>
      </c>
      <c r="C699" t="s">
        <v>28</v>
      </c>
      <c r="D699" t="s">
        <v>11</v>
      </c>
      <c r="E699" t="s">
        <v>48</v>
      </c>
      <c r="F699" t="s">
        <v>296</v>
      </c>
      <c r="G699">
        <v>2358.73</v>
      </c>
      <c r="H699">
        <v>6</v>
      </c>
      <c r="I699">
        <v>-232.82</v>
      </c>
    </row>
    <row r="700" spans="1:9" x14ac:dyDescent="0.3">
      <c r="A700" t="s">
        <v>920</v>
      </c>
      <c r="B700" s="1">
        <v>45819</v>
      </c>
      <c r="C700" t="s">
        <v>17</v>
      </c>
      <c r="D700" t="s">
        <v>32</v>
      </c>
      <c r="E700" t="s">
        <v>33</v>
      </c>
      <c r="F700" t="s">
        <v>51</v>
      </c>
      <c r="G700">
        <v>848.67</v>
      </c>
      <c r="H700">
        <v>3</v>
      </c>
      <c r="I700">
        <v>57.4</v>
      </c>
    </row>
    <row r="701" spans="1:9" x14ac:dyDescent="0.3">
      <c r="A701" t="s">
        <v>921</v>
      </c>
      <c r="B701" s="1">
        <v>45811</v>
      </c>
      <c r="C701" t="s">
        <v>28</v>
      </c>
      <c r="D701" t="s">
        <v>21</v>
      </c>
      <c r="E701" t="s">
        <v>29</v>
      </c>
      <c r="F701" t="s">
        <v>283</v>
      </c>
      <c r="G701">
        <v>2650.15</v>
      </c>
      <c r="H701">
        <v>5</v>
      </c>
      <c r="I701">
        <v>574.12</v>
      </c>
    </row>
    <row r="702" spans="1:9" x14ac:dyDescent="0.3">
      <c r="A702" t="s">
        <v>922</v>
      </c>
      <c r="B702" s="1">
        <v>45450</v>
      </c>
      <c r="C702" t="s">
        <v>10</v>
      </c>
      <c r="D702" t="s">
        <v>32</v>
      </c>
      <c r="E702" t="s">
        <v>33</v>
      </c>
      <c r="F702" t="s">
        <v>166</v>
      </c>
      <c r="G702">
        <v>1139.53</v>
      </c>
      <c r="H702">
        <v>6</v>
      </c>
      <c r="I702">
        <v>16.28</v>
      </c>
    </row>
    <row r="703" spans="1:9" x14ac:dyDescent="0.3">
      <c r="A703" t="s">
        <v>923</v>
      </c>
      <c r="B703" s="1">
        <v>45986</v>
      </c>
      <c r="C703" t="s">
        <v>10</v>
      </c>
      <c r="D703" t="s">
        <v>11</v>
      </c>
      <c r="E703" t="s">
        <v>48</v>
      </c>
      <c r="F703" t="s">
        <v>372</v>
      </c>
      <c r="G703">
        <v>739.63</v>
      </c>
      <c r="H703">
        <v>7</v>
      </c>
      <c r="I703">
        <v>-50.62</v>
      </c>
    </row>
    <row r="704" spans="1:9" x14ac:dyDescent="0.3">
      <c r="A704" t="s">
        <v>924</v>
      </c>
      <c r="B704" s="1">
        <v>45313</v>
      </c>
      <c r="C704" t="s">
        <v>17</v>
      </c>
      <c r="D704" t="s">
        <v>32</v>
      </c>
      <c r="E704" t="s">
        <v>33</v>
      </c>
      <c r="F704" t="s">
        <v>626</v>
      </c>
      <c r="G704">
        <v>3054.68</v>
      </c>
      <c r="H704">
        <v>6</v>
      </c>
      <c r="I704">
        <v>613.35</v>
      </c>
    </row>
    <row r="705" spans="1:9" x14ac:dyDescent="0.3">
      <c r="A705" t="s">
        <v>925</v>
      </c>
      <c r="B705" s="1">
        <v>45391</v>
      </c>
      <c r="C705" t="s">
        <v>17</v>
      </c>
      <c r="D705" t="s">
        <v>32</v>
      </c>
      <c r="E705" t="s">
        <v>39</v>
      </c>
      <c r="F705" t="s">
        <v>246</v>
      </c>
      <c r="G705">
        <v>137.38</v>
      </c>
      <c r="H705">
        <v>1</v>
      </c>
      <c r="I705">
        <v>-3.36</v>
      </c>
    </row>
    <row r="706" spans="1:9" x14ac:dyDescent="0.3">
      <c r="A706" t="s">
        <v>926</v>
      </c>
      <c r="B706" s="1">
        <v>45868</v>
      </c>
      <c r="C706" t="s">
        <v>25</v>
      </c>
      <c r="D706" t="s">
        <v>11</v>
      </c>
      <c r="E706" t="s">
        <v>12</v>
      </c>
      <c r="F706" t="s">
        <v>26</v>
      </c>
      <c r="G706">
        <v>1629.59</v>
      </c>
      <c r="H706">
        <v>6</v>
      </c>
      <c r="I706">
        <v>-148.76</v>
      </c>
    </row>
    <row r="707" spans="1:9" x14ac:dyDescent="0.3">
      <c r="A707" t="s">
        <v>927</v>
      </c>
      <c r="B707" s="1">
        <v>45683</v>
      </c>
      <c r="C707" t="s">
        <v>25</v>
      </c>
      <c r="D707" t="s">
        <v>32</v>
      </c>
      <c r="E707" t="s">
        <v>73</v>
      </c>
      <c r="F707" t="s">
        <v>587</v>
      </c>
      <c r="G707">
        <v>2923.11</v>
      </c>
      <c r="H707">
        <v>4</v>
      </c>
      <c r="I707">
        <v>596.98</v>
      </c>
    </row>
    <row r="708" spans="1:9" x14ac:dyDescent="0.3">
      <c r="A708" t="s">
        <v>928</v>
      </c>
      <c r="B708" s="1">
        <v>45845</v>
      </c>
      <c r="C708" t="s">
        <v>10</v>
      </c>
      <c r="D708" t="s">
        <v>11</v>
      </c>
      <c r="E708" t="s">
        <v>48</v>
      </c>
      <c r="F708" t="s">
        <v>398</v>
      </c>
      <c r="G708">
        <v>92.4</v>
      </c>
      <c r="H708">
        <v>2</v>
      </c>
      <c r="I708">
        <v>13.46</v>
      </c>
    </row>
    <row r="709" spans="1:9" x14ac:dyDescent="0.3">
      <c r="A709" t="s">
        <v>929</v>
      </c>
      <c r="B709" s="1">
        <v>45737</v>
      </c>
      <c r="C709" t="s">
        <v>28</v>
      </c>
      <c r="D709" t="s">
        <v>21</v>
      </c>
      <c r="E709" t="s">
        <v>22</v>
      </c>
      <c r="F709" t="s">
        <v>311</v>
      </c>
      <c r="G709">
        <v>238.95</v>
      </c>
      <c r="H709">
        <v>9</v>
      </c>
      <c r="I709">
        <v>68.599999999999994</v>
      </c>
    </row>
    <row r="710" spans="1:9" x14ac:dyDescent="0.3">
      <c r="A710" t="s">
        <v>930</v>
      </c>
      <c r="B710" s="1">
        <v>45709</v>
      </c>
      <c r="C710" t="s">
        <v>25</v>
      </c>
      <c r="D710" t="s">
        <v>32</v>
      </c>
      <c r="E710" t="s">
        <v>73</v>
      </c>
      <c r="F710" t="s">
        <v>135</v>
      </c>
      <c r="G710">
        <v>1095.1099999999999</v>
      </c>
      <c r="H710">
        <v>10</v>
      </c>
      <c r="I710">
        <v>215.75</v>
      </c>
    </row>
    <row r="711" spans="1:9" x14ac:dyDescent="0.3">
      <c r="A711" t="s">
        <v>931</v>
      </c>
      <c r="B711" s="1">
        <v>45674</v>
      </c>
      <c r="C711" t="s">
        <v>25</v>
      </c>
      <c r="D711" t="s">
        <v>11</v>
      </c>
      <c r="E711" t="s">
        <v>48</v>
      </c>
      <c r="F711" t="s">
        <v>372</v>
      </c>
      <c r="G711">
        <v>690.72</v>
      </c>
      <c r="H711">
        <v>4</v>
      </c>
      <c r="I711">
        <v>-36.33</v>
      </c>
    </row>
    <row r="712" spans="1:9" x14ac:dyDescent="0.3">
      <c r="A712" t="s">
        <v>932</v>
      </c>
      <c r="B712" s="1">
        <v>45375</v>
      </c>
      <c r="C712" t="s">
        <v>25</v>
      </c>
      <c r="D712" t="s">
        <v>11</v>
      </c>
      <c r="E712" t="s">
        <v>12</v>
      </c>
      <c r="F712" t="s">
        <v>135</v>
      </c>
      <c r="G712">
        <v>492.61</v>
      </c>
      <c r="H712">
        <v>4</v>
      </c>
      <c r="I712">
        <v>-2</v>
      </c>
    </row>
    <row r="713" spans="1:9" x14ac:dyDescent="0.3">
      <c r="A713" t="s">
        <v>933</v>
      </c>
      <c r="B713" s="1">
        <v>45978</v>
      </c>
      <c r="C713" t="s">
        <v>17</v>
      </c>
      <c r="D713" t="s">
        <v>32</v>
      </c>
      <c r="E713" t="s">
        <v>33</v>
      </c>
      <c r="F713" t="s">
        <v>44</v>
      </c>
      <c r="G713">
        <v>373.1</v>
      </c>
      <c r="H713">
        <v>3</v>
      </c>
      <c r="I713">
        <v>53.87</v>
      </c>
    </row>
    <row r="714" spans="1:9" x14ac:dyDescent="0.3">
      <c r="A714" t="s">
        <v>934</v>
      </c>
      <c r="B714" s="1">
        <v>45449</v>
      </c>
      <c r="C714" t="s">
        <v>17</v>
      </c>
      <c r="D714" t="s">
        <v>21</v>
      </c>
      <c r="E714" t="s">
        <v>36</v>
      </c>
      <c r="F714" t="s">
        <v>370</v>
      </c>
      <c r="G714">
        <v>2117.67</v>
      </c>
      <c r="H714">
        <v>8</v>
      </c>
      <c r="I714">
        <v>-151.78</v>
      </c>
    </row>
    <row r="715" spans="1:9" x14ac:dyDescent="0.3">
      <c r="A715" t="s">
        <v>935</v>
      </c>
      <c r="B715" s="1">
        <v>45373</v>
      </c>
      <c r="C715" t="s">
        <v>10</v>
      </c>
      <c r="D715" t="s">
        <v>21</v>
      </c>
      <c r="E715" t="s">
        <v>22</v>
      </c>
      <c r="F715" t="s">
        <v>520</v>
      </c>
      <c r="G715">
        <v>2958.05</v>
      </c>
      <c r="H715">
        <v>3</v>
      </c>
      <c r="I715">
        <v>802.17</v>
      </c>
    </row>
    <row r="716" spans="1:9" x14ac:dyDescent="0.3">
      <c r="A716" t="s">
        <v>936</v>
      </c>
      <c r="B716" s="1">
        <v>45970</v>
      </c>
      <c r="C716" t="s">
        <v>10</v>
      </c>
      <c r="D716" t="s">
        <v>21</v>
      </c>
      <c r="E716" t="s">
        <v>29</v>
      </c>
      <c r="F716" t="s">
        <v>19</v>
      </c>
      <c r="G716">
        <v>4870.71</v>
      </c>
      <c r="H716">
        <v>1</v>
      </c>
      <c r="I716">
        <v>384.97</v>
      </c>
    </row>
    <row r="717" spans="1:9" x14ac:dyDescent="0.3">
      <c r="A717" t="s">
        <v>937</v>
      </c>
      <c r="B717" s="1">
        <v>45421</v>
      </c>
      <c r="C717" t="s">
        <v>28</v>
      </c>
      <c r="D717" t="s">
        <v>21</v>
      </c>
      <c r="E717" t="s">
        <v>22</v>
      </c>
      <c r="F717" t="s">
        <v>587</v>
      </c>
      <c r="G717">
        <v>3542.2</v>
      </c>
      <c r="H717">
        <v>8</v>
      </c>
      <c r="I717">
        <v>605.36</v>
      </c>
    </row>
    <row r="718" spans="1:9" x14ac:dyDescent="0.3">
      <c r="A718" t="s">
        <v>938</v>
      </c>
      <c r="B718" s="1">
        <v>45836</v>
      </c>
      <c r="C718" t="s">
        <v>17</v>
      </c>
      <c r="D718" t="s">
        <v>32</v>
      </c>
      <c r="E718" t="s">
        <v>39</v>
      </c>
      <c r="F718" t="s">
        <v>764</v>
      </c>
      <c r="G718">
        <v>1870.91</v>
      </c>
      <c r="H718">
        <v>6</v>
      </c>
      <c r="I718">
        <v>-143.74</v>
      </c>
    </row>
    <row r="719" spans="1:9" x14ac:dyDescent="0.3">
      <c r="A719" t="s">
        <v>939</v>
      </c>
      <c r="B719" s="1">
        <v>45553</v>
      </c>
      <c r="C719" t="s">
        <v>10</v>
      </c>
      <c r="D719" t="s">
        <v>32</v>
      </c>
      <c r="E719" t="s">
        <v>73</v>
      </c>
      <c r="F719" t="s">
        <v>166</v>
      </c>
      <c r="G719">
        <v>1483.72</v>
      </c>
      <c r="H719">
        <v>8</v>
      </c>
      <c r="I719">
        <v>121.11</v>
      </c>
    </row>
    <row r="720" spans="1:9" x14ac:dyDescent="0.3">
      <c r="A720" t="s">
        <v>940</v>
      </c>
      <c r="B720" s="1">
        <v>45505</v>
      </c>
      <c r="C720" t="s">
        <v>28</v>
      </c>
      <c r="D720" t="s">
        <v>11</v>
      </c>
      <c r="E720" t="s">
        <v>12</v>
      </c>
      <c r="F720" t="s">
        <v>40</v>
      </c>
      <c r="G720">
        <v>4803.21</v>
      </c>
      <c r="H720">
        <v>9</v>
      </c>
      <c r="I720">
        <v>967.44</v>
      </c>
    </row>
    <row r="721" spans="1:9" x14ac:dyDescent="0.3">
      <c r="A721" t="s">
        <v>941</v>
      </c>
      <c r="B721" s="1">
        <v>45356</v>
      </c>
      <c r="C721" t="s">
        <v>25</v>
      </c>
      <c r="D721" t="s">
        <v>11</v>
      </c>
      <c r="E721" t="s">
        <v>12</v>
      </c>
      <c r="F721" t="s">
        <v>82</v>
      </c>
      <c r="G721">
        <v>4063.88</v>
      </c>
      <c r="H721">
        <v>6</v>
      </c>
      <c r="I721">
        <v>-36.380000000000003</v>
      </c>
    </row>
    <row r="722" spans="1:9" x14ac:dyDescent="0.3">
      <c r="A722" t="s">
        <v>942</v>
      </c>
      <c r="B722" s="1">
        <v>45553</v>
      </c>
      <c r="C722" t="s">
        <v>10</v>
      </c>
      <c r="D722" t="s">
        <v>21</v>
      </c>
      <c r="E722" t="s">
        <v>29</v>
      </c>
      <c r="F722" t="s">
        <v>681</v>
      </c>
      <c r="G722">
        <v>2946.11</v>
      </c>
      <c r="H722">
        <v>4</v>
      </c>
      <c r="I722">
        <v>831.75</v>
      </c>
    </row>
    <row r="723" spans="1:9" x14ac:dyDescent="0.3">
      <c r="A723" t="s">
        <v>943</v>
      </c>
      <c r="B723" s="1">
        <v>45596</v>
      </c>
      <c r="C723" t="s">
        <v>25</v>
      </c>
      <c r="D723" t="s">
        <v>32</v>
      </c>
      <c r="E723" t="s">
        <v>39</v>
      </c>
      <c r="F723" t="s">
        <v>157</v>
      </c>
      <c r="G723">
        <v>2253.13</v>
      </c>
      <c r="H723">
        <v>10</v>
      </c>
      <c r="I723">
        <v>237.77</v>
      </c>
    </row>
    <row r="724" spans="1:9" x14ac:dyDescent="0.3">
      <c r="A724" t="s">
        <v>944</v>
      </c>
      <c r="B724" s="1">
        <v>45647</v>
      </c>
      <c r="C724" t="s">
        <v>25</v>
      </c>
      <c r="D724" t="s">
        <v>21</v>
      </c>
      <c r="E724" t="s">
        <v>36</v>
      </c>
      <c r="F724" t="s">
        <v>545</v>
      </c>
      <c r="G724">
        <v>1064.01</v>
      </c>
      <c r="H724">
        <v>7</v>
      </c>
      <c r="I724">
        <v>-56.83</v>
      </c>
    </row>
    <row r="725" spans="1:9" x14ac:dyDescent="0.3">
      <c r="A725" t="s">
        <v>945</v>
      </c>
      <c r="B725" s="1">
        <v>45871</v>
      </c>
      <c r="C725" t="s">
        <v>17</v>
      </c>
      <c r="D725" t="s">
        <v>11</v>
      </c>
      <c r="E725" t="s">
        <v>18</v>
      </c>
      <c r="F725" t="s">
        <v>229</v>
      </c>
      <c r="G725">
        <v>1599.81</v>
      </c>
      <c r="H725">
        <v>3</v>
      </c>
      <c r="I725">
        <v>34.07</v>
      </c>
    </row>
    <row r="726" spans="1:9" x14ac:dyDescent="0.3">
      <c r="A726" t="s">
        <v>946</v>
      </c>
      <c r="B726" s="1">
        <v>45815</v>
      </c>
      <c r="C726" t="s">
        <v>10</v>
      </c>
      <c r="D726" t="s">
        <v>21</v>
      </c>
      <c r="E726" t="s">
        <v>22</v>
      </c>
      <c r="F726" t="s">
        <v>353</v>
      </c>
      <c r="G726">
        <v>2370.4</v>
      </c>
      <c r="H726">
        <v>5</v>
      </c>
      <c r="I726">
        <v>425.25</v>
      </c>
    </row>
    <row r="727" spans="1:9" x14ac:dyDescent="0.3">
      <c r="A727" t="s">
        <v>947</v>
      </c>
      <c r="B727" s="1">
        <v>45917</v>
      </c>
      <c r="C727" t="s">
        <v>28</v>
      </c>
      <c r="D727" t="s">
        <v>32</v>
      </c>
      <c r="E727" t="s">
        <v>73</v>
      </c>
      <c r="F727" t="s">
        <v>173</v>
      </c>
      <c r="G727">
        <v>1532.58</v>
      </c>
      <c r="H727">
        <v>2</v>
      </c>
      <c r="I727">
        <v>-120.68</v>
      </c>
    </row>
    <row r="728" spans="1:9" x14ac:dyDescent="0.3">
      <c r="A728" t="s">
        <v>948</v>
      </c>
      <c r="B728" s="1">
        <v>45518</v>
      </c>
      <c r="C728" t="s">
        <v>10</v>
      </c>
      <c r="D728" t="s">
        <v>11</v>
      </c>
      <c r="E728" t="s">
        <v>12</v>
      </c>
      <c r="F728" t="s">
        <v>424</v>
      </c>
      <c r="G728">
        <v>2686.05</v>
      </c>
      <c r="H728">
        <v>5</v>
      </c>
      <c r="I728">
        <v>-219.68</v>
      </c>
    </row>
    <row r="729" spans="1:9" x14ac:dyDescent="0.3">
      <c r="A729" t="s">
        <v>949</v>
      </c>
      <c r="B729" s="1">
        <v>45477</v>
      </c>
      <c r="C729" t="s">
        <v>28</v>
      </c>
      <c r="D729" t="s">
        <v>32</v>
      </c>
      <c r="E729" t="s">
        <v>73</v>
      </c>
      <c r="F729" t="s">
        <v>152</v>
      </c>
      <c r="G729">
        <v>2217.62</v>
      </c>
      <c r="H729">
        <v>3</v>
      </c>
      <c r="I729">
        <v>458.57</v>
      </c>
    </row>
    <row r="730" spans="1:9" x14ac:dyDescent="0.3">
      <c r="A730" t="s">
        <v>950</v>
      </c>
      <c r="B730" s="1">
        <v>45306</v>
      </c>
      <c r="C730" t="s">
        <v>28</v>
      </c>
      <c r="D730" t="s">
        <v>32</v>
      </c>
      <c r="E730" t="s">
        <v>33</v>
      </c>
      <c r="F730" t="s">
        <v>244</v>
      </c>
      <c r="G730">
        <v>4078.61</v>
      </c>
      <c r="H730">
        <v>2</v>
      </c>
      <c r="I730">
        <v>74.709999999999994</v>
      </c>
    </row>
    <row r="731" spans="1:9" x14ac:dyDescent="0.3">
      <c r="A731" t="s">
        <v>951</v>
      </c>
      <c r="B731" s="1">
        <v>45761</v>
      </c>
      <c r="C731" t="s">
        <v>25</v>
      </c>
      <c r="D731" t="s">
        <v>11</v>
      </c>
      <c r="E731" t="s">
        <v>18</v>
      </c>
      <c r="F731" t="s">
        <v>204</v>
      </c>
      <c r="G731">
        <v>4833.1400000000003</v>
      </c>
      <c r="H731">
        <v>10</v>
      </c>
      <c r="I731">
        <v>550.23</v>
      </c>
    </row>
    <row r="732" spans="1:9" x14ac:dyDescent="0.3">
      <c r="A732" t="s">
        <v>952</v>
      </c>
      <c r="B732" s="1">
        <v>45599</v>
      </c>
      <c r="C732" t="s">
        <v>28</v>
      </c>
      <c r="D732" t="s">
        <v>21</v>
      </c>
      <c r="E732" t="s">
        <v>36</v>
      </c>
      <c r="F732" t="s">
        <v>44</v>
      </c>
      <c r="G732">
        <v>2093.54</v>
      </c>
      <c r="H732">
        <v>9</v>
      </c>
      <c r="I732">
        <v>-148.27000000000001</v>
      </c>
    </row>
    <row r="733" spans="1:9" x14ac:dyDescent="0.3">
      <c r="A733" t="s">
        <v>953</v>
      </c>
      <c r="B733" s="1">
        <v>45526</v>
      </c>
      <c r="C733" t="s">
        <v>25</v>
      </c>
      <c r="D733" t="s">
        <v>32</v>
      </c>
      <c r="E733" t="s">
        <v>73</v>
      </c>
      <c r="F733" t="s">
        <v>146</v>
      </c>
      <c r="G733">
        <v>2505.85</v>
      </c>
      <c r="H733">
        <v>9</v>
      </c>
      <c r="I733">
        <v>370.23</v>
      </c>
    </row>
    <row r="734" spans="1:9" x14ac:dyDescent="0.3">
      <c r="A734" t="s">
        <v>954</v>
      </c>
      <c r="B734" s="1">
        <v>45794</v>
      </c>
      <c r="C734" t="s">
        <v>28</v>
      </c>
      <c r="D734" t="s">
        <v>21</v>
      </c>
      <c r="E734" t="s">
        <v>36</v>
      </c>
      <c r="F734" t="s">
        <v>59</v>
      </c>
      <c r="G734">
        <v>1744.4</v>
      </c>
      <c r="H734">
        <v>6</v>
      </c>
      <c r="I734">
        <v>292.06</v>
      </c>
    </row>
    <row r="735" spans="1:9" x14ac:dyDescent="0.3">
      <c r="A735" t="s">
        <v>955</v>
      </c>
      <c r="B735" s="1">
        <v>45387</v>
      </c>
      <c r="C735" t="s">
        <v>25</v>
      </c>
      <c r="D735" t="s">
        <v>32</v>
      </c>
      <c r="E735" t="s">
        <v>73</v>
      </c>
      <c r="F735" t="s">
        <v>19</v>
      </c>
      <c r="G735">
        <v>1115.55</v>
      </c>
      <c r="H735">
        <v>6</v>
      </c>
      <c r="I735">
        <v>51</v>
      </c>
    </row>
    <row r="736" spans="1:9" x14ac:dyDescent="0.3">
      <c r="A736" t="s">
        <v>956</v>
      </c>
      <c r="B736" s="1">
        <v>45873</v>
      </c>
      <c r="C736" t="s">
        <v>17</v>
      </c>
      <c r="D736" t="s">
        <v>11</v>
      </c>
      <c r="E736" t="s">
        <v>12</v>
      </c>
      <c r="F736" t="s">
        <v>86</v>
      </c>
      <c r="G736">
        <v>2060.92</v>
      </c>
      <c r="H736">
        <v>1</v>
      </c>
      <c r="I736">
        <v>-159.25</v>
      </c>
    </row>
    <row r="737" spans="1:9" x14ac:dyDescent="0.3">
      <c r="A737" t="s">
        <v>957</v>
      </c>
      <c r="B737" s="1">
        <v>45395</v>
      </c>
      <c r="C737" t="s">
        <v>25</v>
      </c>
      <c r="D737" t="s">
        <v>11</v>
      </c>
      <c r="E737" t="s">
        <v>12</v>
      </c>
      <c r="F737" t="s">
        <v>535</v>
      </c>
      <c r="G737">
        <v>2825.83</v>
      </c>
      <c r="H737">
        <v>3</v>
      </c>
      <c r="I737">
        <v>-238.47</v>
      </c>
    </row>
    <row r="738" spans="1:9" x14ac:dyDescent="0.3">
      <c r="A738" t="s">
        <v>958</v>
      </c>
      <c r="B738" s="1">
        <v>45587</v>
      </c>
      <c r="C738" t="s">
        <v>17</v>
      </c>
      <c r="D738" t="s">
        <v>21</v>
      </c>
      <c r="E738" t="s">
        <v>36</v>
      </c>
      <c r="F738" t="s">
        <v>323</v>
      </c>
      <c r="G738">
        <v>315.45</v>
      </c>
      <c r="H738">
        <v>5</v>
      </c>
      <c r="I738">
        <v>-30.57</v>
      </c>
    </row>
    <row r="739" spans="1:9" x14ac:dyDescent="0.3">
      <c r="A739" t="s">
        <v>959</v>
      </c>
      <c r="B739" s="1">
        <v>45489</v>
      </c>
      <c r="C739" t="s">
        <v>25</v>
      </c>
      <c r="D739" t="s">
        <v>11</v>
      </c>
      <c r="E739" t="s">
        <v>18</v>
      </c>
      <c r="F739" t="s">
        <v>107</v>
      </c>
      <c r="G739">
        <v>1344.81</v>
      </c>
      <c r="H739">
        <v>2</v>
      </c>
      <c r="I739">
        <v>-82.7</v>
      </c>
    </row>
    <row r="740" spans="1:9" x14ac:dyDescent="0.3">
      <c r="A740" t="s">
        <v>960</v>
      </c>
      <c r="B740" s="1">
        <v>45487</v>
      </c>
      <c r="C740" t="s">
        <v>10</v>
      </c>
      <c r="D740" t="s">
        <v>32</v>
      </c>
      <c r="E740" t="s">
        <v>33</v>
      </c>
      <c r="F740" t="s">
        <v>587</v>
      </c>
      <c r="G740">
        <v>2281.96</v>
      </c>
      <c r="H740">
        <v>6</v>
      </c>
      <c r="I740">
        <v>130.78</v>
      </c>
    </row>
    <row r="741" spans="1:9" x14ac:dyDescent="0.3">
      <c r="A741" t="s">
        <v>961</v>
      </c>
      <c r="B741" s="1">
        <v>45543</v>
      </c>
      <c r="C741" t="s">
        <v>28</v>
      </c>
      <c r="D741" t="s">
        <v>11</v>
      </c>
      <c r="E741" t="s">
        <v>12</v>
      </c>
      <c r="F741" t="s">
        <v>168</v>
      </c>
      <c r="G741">
        <v>4722.55</v>
      </c>
      <c r="H741">
        <v>6</v>
      </c>
      <c r="I741">
        <v>359.91</v>
      </c>
    </row>
    <row r="742" spans="1:9" x14ac:dyDescent="0.3">
      <c r="A742" t="s">
        <v>962</v>
      </c>
      <c r="B742" s="1">
        <v>45994</v>
      </c>
      <c r="C742" t="s">
        <v>25</v>
      </c>
      <c r="D742" t="s">
        <v>11</v>
      </c>
      <c r="E742" t="s">
        <v>12</v>
      </c>
      <c r="F742" t="s">
        <v>93</v>
      </c>
      <c r="G742">
        <v>708.79</v>
      </c>
      <c r="H742">
        <v>1</v>
      </c>
      <c r="I742">
        <v>41.23</v>
      </c>
    </row>
    <row r="743" spans="1:9" x14ac:dyDescent="0.3">
      <c r="A743" t="s">
        <v>963</v>
      </c>
      <c r="B743" s="1">
        <v>45673</v>
      </c>
      <c r="C743" t="s">
        <v>25</v>
      </c>
      <c r="D743" t="s">
        <v>11</v>
      </c>
      <c r="E743" t="s">
        <v>12</v>
      </c>
      <c r="F743" t="s">
        <v>450</v>
      </c>
      <c r="G743">
        <v>4318.58</v>
      </c>
      <c r="H743">
        <v>6</v>
      </c>
      <c r="I743">
        <v>-336.79</v>
      </c>
    </row>
    <row r="744" spans="1:9" x14ac:dyDescent="0.3">
      <c r="A744" t="s">
        <v>964</v>
      </c>
      <c r="B744" s="1">
        <v>45741</v>
      </c>
      <c r="C744" t="s">
        <v>28</v>
      </c>
      <c r="D744" t="s">
        <v>32</v>
      </c>
      <c r="E744" t="s">
        <v>39</v>
      </c>
      <c r="F744" t="s">
        <v>144</v>
      </c>
      <c r="G744">
        <v>2167.5100000000002</v>
      </c>
      <c r="H744">
        <v>1</v>
      </c>
      <c r="I744">
        <v>312.60000000000002</v>
      </c>
    </row>
    <row r="745" spans="1:9" x14ac:dyDescent="0.3">
      <c r="A745" t="s">
        <v>965</v>
      </c>
      <c r="B745" s="1">
        <v>45610</v>
      </c>
      <c r="C745" t="s">
        <v>17</v>
      </c>
      <c r="D745" t="s">
        <v>21</v>
      </c>
      <c r="E745" t="s">
        <v>22</v>
      </c>
      <c r="F745" t="s">
        <v>372</v>
      </c>
      <c r="G745">
        <v>2966.12</v>
      </c>
      <c r="H745">
        <v>2</v>
      </c>
      <c r="I745">
        <v>802.54</v>
      </c>
    </row>
    <row r="746" spans="1:9" x14ac:dyDescent="0.3">
      <c r="A746" t="s">
        <v>966</v>
      </c>
      <c r="B746" s="1">
        <v>46020</v>
      </c>
      <c r="C746" t="s">
        <v>17</v>
      </c>
      <c r="D746" t="s">
        <v>21</v>
      </c>
      <c r="E746" t="s">
        <v>36</v>
      </c>
      <c r="F746" t="s">
        <v>318</v>
      </c>
      <c r="G746">
        <v>4343.99</v>
      </c>
      <c r="H746">
        <v>5</v>
      </c>
      <c r="I746">
        <v>1106.3699999999999</v>
      </c>
    </row>
    <row r="747" spans="1:9" x14ac:dyDescent="0.3">
      <c r="A747" t="s">
        <v>967</v>
      </c>
      <c r="B747" s="1">
        <v>45684</v>
      </c>
      <c r="C747" t="s">
        <v>25</v>
      </c>
      <c r="D747" t="s">
        <v>11</v>
      </c>
      <c r="E747" t="s">
        <v>18</v>
      </c>
      <c r="F747" t="s">
        <v>393</v>
      </c>
      <c r="G747">
        <v>4543.3500000000004</v>
      </c>
      <c r="H747">
        <v>9</v>
      </c>
      <c r="I747">
        <v>74.260000000000005</v>
      </c>
    </row>
    <row r="748" spans="1:9" x14ac:dyDescent="0.3">
      <c r="A748" t="s">
        <v>968</v>
      </c>
      <c r="B748" s="1">
        <v>45839</v>
      </c>
      <c r="C748" t="s">
        <v>25</v>
      </c>
      <c r="D748" t="s">
        <v>11</v>
      </c>
      <c r="E748" t="s">
        <v>48</v>
      </c>
      <c r="F748" t="s">
        <v>337</v>
      </c>
      <c r="G748">
        <v>3751.99</v>
      </c>
      <c r="H748">
        <v>6</v>
      </c>
      <c r="I748">
        <v>-43.97</v>
      </c>
    </row>
    <row r="749" spans="1:9" x14ac:dyDescent="0.3">
      <c r="A749" t="s">
        <v>969</v>
      </c>
      <c r="B749" s="1">
        <v>45853</v>
      </c>
      <c r="C749" t="s">
        <v>25</v>
      </c>
      <c r="D749" t="s">
        <v>11</v>
      </c>
      <c r="E749" t="s">
        <v>48</v>
      </c>
      <c r="F749" t="s">
        <v>357</v>
      </c>
      <c r="G749">
        <v>1767.92</v>
      </c>
      <c r="H749">
        <v>8</v>
      </c>
      <c r="I749">
        <v>503.7</v>
      </c>
    </row>
    <row r="750" spans="1:9" x14ac:dyDescent="0.3">
      <c r="A750" t="s">
        <v>970</v>
      </c>
      <c r="B750" s="1">
        <v>45820</v>
      </c>
      <c r="C750" t="s">
        <v>17</v>
      </c>
      <c r="D750" t="s">
        <v>11</v>
      </c>
      <c r="E750" t="s">
        <v>48</v>
      </c>
      <c r="F750" t="s">
        <v>672</v>
      </c>
      <c r="G750">
        <v>2521.9499999999998</v>
      </c>
      <c r="H750">
        <v>5</v>
      </c>
      <c r="I750">
        <v>690.18</v>
      </c>
    </row>
    <row r="751" spans="1:9" x14ac:dyDescent="0.3">
      <c r="A751" t="s">
        <v>971</v>
      </c>
      <c r="B751" s="1">
        <v>45717</v>
      </c>
      <c r="C751" t="s">
        <v>17</v>
      </c>
      <c r="D751" t="s">
        <v>11</v>
      </c>
      <c r="E751" t="s">
        <v>48</v>
      </c>
      <c r="F751" t="s">
        <v>19</v>
      </c>
      <c r="G751">
        <v>4398.45</v>
      </c>
      <c r="H751">
        <v>2</v>
      </c>
      <c r="I751">
        <v>-243.32</v>
      </c>
    </row>
    <row r="752" spans="1:9" x14ac:dyDescent="0.3">
      <c r="A752" t="s">
        <v>972</v>
      </c>
      <c r="B752" s="1">
        <v>45319</v>
      </c>
      <c r="C752" t="s">
        <v>28</v>
      </c>
      <c r="D752" t="s">
        <v>32</v>
      </c>
      <c r="E752" t="s">
        <v>33</v>
      </c>
      <c r="F752" t="s">
        <v>180</v>
      </c>
      <c r="G752">
        <v>3593.46</v>
      </c>
      <c r="H752">
        <v>5</v>
      </c>
      <c r="I752">
        <v>389.41</v>
      </c>
    </row>
    <row r="753" spans="1:9" x14ac:dyDescent="0.3">
      <c r="A753" t="s">
        <v>973</v>
      </c>
      <c r="B753" s="1">
        <v>45505</v>
      </c>
      <c r="C753" t="s">
        <v>28</v>
      </c>
      <c r="D753" t="s">
        <v>32</v>
      </c>
      <c r="E753" t="s">
        <v>33</v>
      </c>
      <c r="F753" t="s">
        <v>202</v>
      </c>
      <c r="G753">
        <v>2149.25</v>
      </c>
      <c r="H753">
        <v>1</v>
      </c>
      <c r="I753">
        <v>447.25</v>
      </c>
    </row>
    <row r="754" spans="1:9" x14ac:dyDescent="0.3">
      <c r="A754" t="s">
        <v>974</v>
      </c>
      <c r="B754" s="1">
        <v>45359</v>
      </c>
      <c r="C754" t="s">
        <v>25</v>
      </c>
      <c r="D754" t="s">
        <v>11</v>
      </c>
      <c r="E754" t="s">
        <v>18</v>
      </c>
      <c r="F754" t="s">
        <v>641</v>
      </c>
      <c r="G754">
        <v>2959.75</v>
      </c>
      <c r="H754">
        <v>8</v>
      </c>
      <c r="I754">
        <v>-221.29</v>
      </c>
    </row>
    <row r="755" spans="1:9" x14ac:dyDescent="0.3">
      <c r="A755" t="s">
        <v>975</v>
      </c>
      <c r="B755" s="1">
        <v>45628</v>
      </c>
      <c r="C755" t="s">
        <v>28</v>
      </c>
      <c r="D755" t="s">
        <v>21</v>
      </c>
      <c r="E755" t="s">
        <v>36</v>
      </c>
      <c r="F755" t="s">
        <v>368</v>
      </c>
      <c r="G755">
        <v>2856.62</v>
      </c>
      <c r="H755">
        <v>8</v>
      </c>
      <c r="I755">
        <v>-282.36</v>
      </c>
    </row>
    <row r="756" spans="1:9" x14ac:dyDescent="0.3">
      <c r="A756" t="s">
        <v>976</v>
      </c>
      <c r="B756" s="1">
        <v>45541</v>
      </c>
      <c r="C756" t="s">
        <v>10</v>
      </c>
      <c r="D756" t="s">
        <v>21</v>
      </c>
      <c r="E756" t="s">
        <v>29</v>
      </c>
      <c r="F756" t="s">
        <v>700</v>
      </c>
      <c r="G756">
        <v>1267.45</v>
      </c>
      <c r="H756">
        <v>9</v>
      </c>
      <c r="I756">
        <v>-18.670000000000002</v>
      </c>
    </row>
    <row r="757" spans="1:9" x14ac:dyDescent="0.3">
      <c r="A757" t="s">
        <v>977</v>
      </c>
      <c r="B757" s="1">
        <v>45528</v>
      </c>
      <c r="C757" t="s">
        <v>28</v>
      </c>
      <c r="D757" t="s">
        <v>21</v>
      </c>
      <c r="E757" t="s">
        <v>36</v>
      </c>
      <c r="F757" t="s">
        <v>65</v>
      </c>
      <c r="G757">
        <v>159.29</v>
      </c>
      <c r="H757">
        <v>2</v>
      </c>
      <c r="I757">
        <v>8.68</v>
      </c>
    </row>
    <row r="758" spans="1:9" x14ac:dyDescent="0.3">
      <c r="A758" t="s">
        <v>978</v>
      </c>
      <c r="B758" s="1">
        <v>45869</v>
      </c>
      <c r="C758" t="s">
        <v>17</v>
      </c>
      <c r="D758" t="s">
        <v>21</v>
      </c>
      <c r="E758" t="s">
        <v>36</v>
      </c>
      <c r="F758" t="s">
        <v>979</v>
      </c>
      <c r="G758">
        <v>4698.01</v>
      </c>
      <c r="H758">
        <v>10</v>
      </c>
      <c r="I758">
        <v>291.41000000000003</v>
      </c>
    </row>
    <row r="759" spans="1:9" x14ac:dyDescent="0.3">
      <c r="A759" t="s">
        <v>980</v>
      </c>
      <c r="B759" s="1">
        <v>45343</v>
      </c>
      <c r="C759" t="s">
        <v>17</v>
      </c>
      <c r="D759" t="s">
        <v>21</v>
      </c>
      <c r="E759" t="s">
        <v>36</v>
      </c>
      <c r="F759" t="s">
        <v>412</v>
      </c>
      <c r="G759">
        <v>79.739999999999995</v>
      </c>
      <c r="H759">
        <v>3</v>
      </c>
      <c r="I759">
        <v>-2.31</v>
      </c>
    </row>
    <row r="760" spans="1:9" x14ac:dyDescent="0.3">
      <c r="A760" t="s">
        <v>981</v>
      </c>
      <c r="B760" s="1">
        <v>45502</v>
      </c>
      <c r="C760" t="s">
        <v>17</v>
      </c>
      <c r="D760" t="s">
        <v>32</v>
      </c>
      <c r="E760" t="s">
        <v>33</v>
      </c>
      <c r="F760" t="s">
        <v>157</v>
      </c>
      <c r="G760">
        <v>934.68</v>
      </c>
      <c r="H760">
        <v>2</v>
      </c>
      <c r="I760">
        <v>257.39</v>
      </c>
    </row>
    <row r="761" spans="1:9" x14ac:dyDescent="0.3">
      <c r="A761" t="s">
        <v>982</v>
      </c>
      <c r="B761" s="1">
        <v>45574</v>
      </c>
      <c r="C761" t="s">
        <v>10</v>
      </c>
      <c r="D761" t="s">
        <v>32</v>
      </c>
      <c r="E761" t="s">
        <v>73</v>
      </c>
      <c r="F761" t="s">
        <v>53</v>
      </c>
      <c r="G761">
        <v>3045.97</v>
      </c>
      <c r="H761">
        <v>1</v>
      </c>
      <c r="I761">
        <v>884.19</v>
      </c>
    </row>
    <row r="762" spans="1:9" x14ac:dyDescent="0.3">
      <c r="A762" t="s">
        <v>983</v>
      </c>
      <c r="B762" s="1">
        <v>45651</v>
      </c>
      <c r="C762" t="s">
        <v>25</v>
      </c>
      <c r="D762" t="s">
        <v>32</v>
      </c>
      <c r="E762" t="s">
        <v>73</v>
      </c>
      <c r="F762" t="s">
        <v>732</v>
      </c>
      <c r="G762">
        <v>364.05</v>
      </c>
      <c r="H762">
        <v>1</v>
      </c>
      <c r="I762">
        <v>91.68</v>
      </c>
    </row>
    <row r="763" spans="1:9" x14ac:dyDescent="0.3">
      <c r="A763" t="s">
        <v>984</v>
      </c>
      <c r="B763" s="1">
        <v>45438</v>
      </c>
      <c r="C763" t="s">
        <v>17</v>
      </c>
      <c r="D763" t="s">
        <v>21</v>
      </c>
      <c r="E763" t="s">
        <v>22</v>
      </c>
      <c r="F763" t="s">
        <v>711</v>
      </c>
      <c r="G763">
        <v>4266.16</v>
      </c>
      <c r="H763">
        <v>5</v>
      </c>
      <c r="I763">
        <v>1053.3399999999999</v>
      </c>
    </row>
    <row r="764" spans="1:9" x14ac:dyDescent="0.3">
      <c r="A764" t="s">
        <v>985</v>
      </c>
      <c r="B764" s="1">
        <v>45301</v>
      </c>
      <c r="C764" t="s">
        <v>28</v>
      </c>
      <c r="D764" t="s">
        <v>32</v>
      </c>
      <c r="E764" t="s">
        <v>33</v>
      </c>
      <c r="F764" t="s">
        <v>602</v>
      </c>
      <c r="G764">
        <v>963.35</v>
      </c>
      <c r="H764">
        <v>4</v>
      </c>
      <c r="I764">
        <v>192.18</v>
      </c>
    </row>
    <row r="765" spans="1:9" x14ac:dyDescent="0.3">
      <c r="A765" t="s">
        <v>986</v>
      </c>
      <c r="B765" s="1">
        <v>45416</v>
      </c>
      <c r="C765" t="s">
        <v>17</v>
      </c>
      <c r="D765" t="s">
        <v>21</v>
      </c>
      <c r="E765" t="s">
        <v>36</v>
      </c>
      <c r="F765" t="s">
        <v>526</v>
      </c>
      <c r="G765">
        <v>235.18</v>
      </c>
      <c r="H765">
        <v>6</v>
      </c>
      <c r="I765">
        <v>16.36</v>
      </c>
    </row>
    <row r="766" spans="1:9" x14ac:dyDescent="0.3">
      <c r="A766" t="s">
        <v>987</v>
      </c>
      <c r="B766" s="1">
        <v>45843</v>
      </c>
      <c r="C766" t="s">
        <v>25</v>
      </c>
      <c r="D766" t="s">
        <v>11</v>
      </c>
      <c r="E766" t="s">
        <v>48</v>
      </c>
      <c r="F766" t="s">
        <v>93</v>
      </c>
      <c r="G766">
        <v>2923.98</v>
      </c>
      <c r="H766">
        <v>1</v>
      </c>
      <c r="I766">
        <v>139.19999999999999</v>
      </c>
    </row>
    <row r="767" spans="1:9" x14ac:dyDescent="0.3">
      <c r="A767" t="s">
        <v>988</v>
      </c>
      <c r="B767" s="1">
        <v>45660</v>
      </c>
      <c r="C767" t="s">
        <v>25</v>
      </c>
      <c r="D767" t="s">
        <v>11</v>
      </c>
      <c r="E767" t="s">
        <v>12</v>
      </c>
      <c r="F767" t="s">
        <v>95</v>
      </c>
      <c r="G767">
        <v>2180.02</v>
      </c>
      <c r="H767">
        <v>5</v>
      </c>
      <c r="I767">
        <v>-69.86</v>
      </c>
    </row>
    <row r="768" spans="1:9" x14ac:dyDescent="0.3">
      <c r="A768" t="s">
        <v>989</v>
      </c>
      <c r="B768" s="1">
        <v>45306</v>
      </c>
      <c r="C768" t="s">
        <v>10</v>
      </c>
      <c r="D768" t="s">
        <v>21</v>
      </c>
      <c r="E768" t="s">
        <v>22</v>
      </c>
      <c r="F768" t="s">
        <v>129</v>
      </c>
      <c r="G768">
        <v>3012.22</v>
      </c>
      <c r="H768">
        <v>4</v>
      </c>
      <c r="I768">
        <v>317.68</v>
      </c>
    </row>
    <row r="769" spans="1:9" x14ac:dyDescent="0.3">
      <c r="A769" t="s">
        <v>990</v>
      </c>
      <c r="B769" s="1">
        <v>45614</v>
      </c>
      <c r="C769" t="s">
        <v>28</v>
      </c>
      <c r="D769" t="s">
        <v>11</v>
      </c>
      <c r="E769" t="s">
        <v>12</v>
      </c>
      <c r="F769" t="s">
        <v>443</v>
      </c>
      <c r="G769">
        <v>1975.87</v>
      </c>
      <c r="H769">
        <v>10</v>
      </c>
      <c r="I769">
        <v>-35.6</v>
      </c>
    </row>
    <row r="770" spans="1:9" x14ac:dyDescent="0.3">
      <c r="A770" t="s">
        <v>991</v>
      </c>
      <c r="B770" s="1">
        <v>45779</v>
      </c>
      <c r="C770" t="s">
        <v>28</v>
      </c>
      <c r="D770" t="s">
        <v>21</v>
      </c>
      <c r="E770" t="s">
        <v>22</v>
      </c>
      <c r="F770" t="s">
        <v>19</v>
      </c>
      <c r="G770">
        <v>4044.33</v>
      </c>
      <c r="H770">
        <v>8</v>
      </c>
      <c r="I770">
        <v>-257.38</v>
      </c>
    </row>
    <row r="771" spans="1:9" x14ac:dyDescent="0.3">
      <c r="A771" t="s">
        <v>992</v>
      </c>
      <c r="B771" s="1">
        <v>45437</v>
      </c>
      <c r="C771" t="s">
        <v>17</v>
      </c>
      <c r="D771" t="s">
        <v>32</v>
      </c>
      <c r="E771" t="s">
        <v>73</v>
      </c>
      <c r="F771" t="s">
        <v>340</v>
      </c>
      <c r="G771">
        <v>1406.38</v>
      </c>
      <c r="H771">
        <v>1</v>
      </c>
      <c r="I771">
        <v>-17.440000000000001</v>
      </c>
    </row>
    <row r="772" spans="1:9" x14ac:dyDescent="0.3">
      <c r="A772" t="s">
        <v>993</v>
      </c>
      <c r="B772" s="1">
        <v>45296</v>
      </c>
      <c r="C772" t="s">
        <v>10</v>
      </c>
      <c r="D772" t="s">
        <v>11</v>
      </c>
      <c r="E772" t="s">
        <v>18</v>
      </c>
      <c r="F772" t="s">
        <v>270</v>
      </c>
      <c r="G772">
        <v>1849.3</v>
      </c>
      <c r="H772">
        <v>5</v>
      </c>
      <c r="I772">
        <v>-131.03</v>
      </c>
    </row>
    <row r="773" spans="1:9" x14ac:dyDescent="0.3">
      <c r="A773" t="s">
        <v>994</v>
      </c>
      <c r="B773" s="1">
        <v>45903</v>
      </c>
      <c r="C773" t="s">
        <v>28</v>
      </c>
      <c r="D773" t="s">
        <v>21</v>
      </c>
      <c r="E773" t="s">
        <v>22</v>
      </c>
      <c r="F773" t="s">
        <v>15</v>
      </c>
      <c r="G773">
        <v>909.7</v>
      </c>
      <c r="H773">
        <v>10</v>
      </c>
      <c r="I773">
        <v>-82.68</v>
      </c>
    </row>
    <row r="774" spans="1:9" x14ac:dyDescent="0.3">
      <c r="A774" t="s">
        <v>995</v>
      </c>
      <c r="B774" s="1">
        <v>45307</v>
      </c>
      <c r="C774" t="s">
        <v>10</v>
      </c>
      <c r="D774" t="s">
        <v>11</v>
      </c>
      <c r="E774" t="s">
        <v>18</v>
      </c>
      <c r="F774" t="s">
        <v>349</v>
      </c>
      <c r="G774">
        <v>637.26</v>
      </c>
      <c r="H774">
        <v>4</v>
      </c>
      <c r="I774">
        <v>-1.4</v>
      </c>
    </row>
    <row r="775" spans="1:9" x14ac:dyDescent="0.3">
      <c r="A775" t="s">
        <v>996</v>
      </c>
      <c r="B775" s="1">
        <v>45687</v>
      </c>
      <c r="C775" t="s">
        <v>25</v>
      </c>
      <c r="D775" t="s">
        <v>11</v>
      </c>
      <c r="E775" t="s">
        <v>18</v>
      </c>
      <c r="F775" t="s">
        <v>23</v>
      </c>
      <c r="G775">
        <v>2339.25</v>
      </c>
      <c r="H775">
        <v>3</v>
      </c>
      <c r="I775">
        <v>486.21</v>
      </c>
    </row>
    <row r="776" spans="1:9" x14ac:dyDescent="0.3">
      <c r="A776" t="s">
        <v>997</v>
      </c>
      <c r="B776" s="1">
        <v>45410</v>
      </c>
      <c r="C776" t="s">
        <v>17</v>
      </c>
      <c r="D776" t="s">
        <v>21</v>
      </c>
      <c r="E776" t="s">
        <v>36</v>
      </c>
      <c r="F776" t="s">
        <v>23</v>
      </c>
      <c r="G776">
        <v>2418.0700000000002</v>
      </c>
      <c r="H776">
        <v>7</v>
      </c>
      <c r="I776">
        <v>267.43</v>
      </c>
    </row>
    <row r="777" spans="1:9" x14ac:dyDescent="0.3">
      <c r="A777" t="s">
        <v>998</v>
      </c>
      <c r="B777" s="1">
        <v>45809</v>
      </c>
      <c r="C777" t="s">
        <v>10</v>
      </c>
      <c r="D777" t="s">
        <v>11</v>
      </c>
      <c r="E777" t="s">
        <v>18</v>
      </c>
      <c r="F777" t="s">
        <v>999</v>
      </c>
      <c r="G777">
        <v>1756.05</v>
      </c>
      <c r="H777">
        <v>6</v>
      </c>
      <c r="I777">
        <v>-149.22</v>
      </c>
    </row>
    <row r="778" spans="1:9" x14ac:dyDescent="0.3">
      <c r="A778" t="s">
        <v>1000</v>
      </c>
      <c r="B778" s="1">
        <v>45897</v>
      </c>
      <c r="C778" t="s">
        <v>10</v>
      </c>
      <c r="D778" t="s">
        <v>11</v>
      </c>
      <c r="E778" t="s">
        <v>18</v>
      </c>
      <c r="F778" t="s">
        <v>267</v>
      </c>
      <c r="G778">
        <v>558.91</v>
      </c>
      <c r="H778">
        <v>8</v>
      </c>
      <c r="I778">
        <v>112.11</v>
      </c>
    </row>
    <row r="779" spans="1:9" x14ac:dyDescent="0.3">
      <c r="A779" t="s">
        <v>1001</v>
      </c>
      <c r="B779" s="1">
        <v>45698</v>
      </c>
      <c r="C779" t="s">
        <v>28</v>
      </c>
      <c r="D779" t="s">
        <v>32</v>
      </c>
      <c r="E779" t="s">
        <v>33</v>
      </c>
      <c r="F779" t="s">
        <v>492</v>
      </c>
      <c r="G779">
        <v>702.22</v>
      </c>
      <c r="H779">
        <v>3</v>
      </c>
      <c r="I779">
        <v>-41.86</v>
      </c>
    </row>
    <row r="780" spans="1:9" x14ac:dyDescent="0.3">
      <c r="A780" t="s">
        <v>1002</v>
      </c>
      <c r="B780" s="1">
        <v>45637</v>
      </c>
      <c r="C780" t="s">
        <v>28</v>
      </c>
      <c r="D780" t="s">
        <v>32</v>
      </c>
      <c r="E780" t="s">
        <v>39</v>
      </c>
      <c r="F780" t="s">
        <v>711</v>
      </c>
      <c r="G780">
        <v>3793.13</v>
      </c>
      <c r="H780">
        <v>5</v>
      </c>
      <c r="I780">
        <v>-146.22</v>
      </c>
    </row>
    <row r="781" spans="1:9" x14ac:dyDescent="0.3">
      <c r="A781" t="s">
        <v>1003</v>
      </c>
      <c r="B781" s="1">
        <v>46016</v>
      </c>
      <c r="C781" t="s">
        <v>10</v>
      </c>
      <c r="D781" t="s">
        <v>21</v>
      </c>
      <c r="E781" t="s">
        <v>29</v>
      </c>
      <c r="F781" t="s">
        <v>576</v>
      </c>
      <c r="G781">
        <v>3286.29</v>
      </c>
      <c r="H781">
        <v>6</v>
      </c>
      <c r="I781">
        <v>-299.75</v>
      </c>
    </row>
    <row r="782" spans="1:9" x14ac:dyDescent="0.3">
      <c r="A782" t="s">
        <v>1004</v>
      </c>
      <c r="B782" s="1">
        <v>45957</v>
      </c>
      <c r="C782" t="s">
        <v>17</v>
      </c>
      <c r="D782" t="s">
        <v>11</v>
      </c>
      <c r="E782" t="s">
        <v>18</v>
      </c>
      <c r="F782" t="s">
        <v>209</v>
      </c>
      <c r="G782">
        <v>2624.72</v>
      </c>
      <c r="H782">
        <v>1</v>
      </c>
      <c r="I782">
        <v>-23.44</v>
      </c>
    </row>
    <row r="783" spans="1:9" x14ac:dyDescent="0.3">
      <c r="A783" t="s">
        <v>1005</v>
      </c>
      <c r="B783" s="1">
        <v>45390</v>
      </c>
      <c r="C783" t="s">
        <v>28</v>
      </c>
      <c r="D783" t="s">
        <v>11</v>
      </c>
      <c r="E783" t="s">
        <v>48</v>
      </c>
      <c r="F783" t="s">
        <v>148</v>
      </c>
      <c r="G783">
        <v>1516.82</v>
      </c>
      <c r="H783">
        <v>6</v>
      </c>
      <c r="I783">
        <v>89.21</v>
      </c>
    </row>
    <row r="784" spans="1:9" x14ac:dyDescent="0.3">
      <c r="A784" t="s">
        <v>1006</v>
      </c>
      <c r="B784" s="1">
        <v>45726</v>
      </c>
      <c r="C784" t="s">
        <v>17</v>
      </c>
      <c r="D784" t="s">
        <v>21</v>
      </c>
      <c r="E784" t="s">
        <v>36</v>
      </c>
      <c r="F784" t="s">
        <v>182</v>
      </c>
      <c r="G784">
        <v>4585.9799999999996</v>
      </c>
      <c r="H784">
        <v>5</v>
      </c>
      <c r="I784">
        <v>-316.26</v>
      </c>
    </row>
    <row r="785" spans="1:9" x14ac:dyDescent="0.3">
      <c r="A785" t="s">
        <v>1007</v>
      </c>
      <c r="B785" s="1">
        <v>45658</v>
      </c>
      <c r="C785" t="s">
        <v>17</v>
      </c>
      <c r="D785" t="s">
        <v>21</v>
      </c>
      <c r="E785" t="s">
        <v>36</v>
      </c>
      <c r="F785" t="s">
        <v>184</v>
      </c>
      <c r="G785">
        <v>1406.5</v>
      </c>
      <c r="H785">
        <v>5</v>
      </c>
      <c r="I785">
        <v>232.6</v>
      </c>
    </row>
    <row r="786" spans="1:9" x14ac:dyDescent="0.3">
      <c r="A786" t="s">
        <v>1008</v>
      </c>
      <c r="B786" s="1">
        <v>45921</v>
      </c>
      <c r="C786" t="s">
        <v>25</v>
      </c>
      <c r="D786" t="s">
        <v>32</v>
      </c>
      <c r="E786" t="s">
        <v>73</v>
      </c>
      <c r="F786" t="s">
        <v>137</v>
      </c>
      <c r="G786">
        <v>1865.75</v>
      </c>
      <c r="H786">
        <v>1</v>
      </c>
      <c r="I786">
        <v>-93.3</v>
      </c>
    </row>
    <row r="787" spans="1:9" x14ac:dyDescent="0.3">
      <c r="A787" t="s">
        <v>1009</v>
      </c>
      <c r="B787" s="1">
        <v>45419</v>
      </c>
      <c r="C787" t="s">
        <v>28</v>
      </c>
      <c r="D787" t="s">
        <v>11</v>
      </c>
      <c r="E787" t="s">
        <v>48</v>
      </c>
      <c r="F787" t="s">
        <v>99</v>
      </c>
      <c r="G787">
        <v>3137.05</v>
      </c>
      <c r="H787">
        <v>8</v>
      </c>
      <c r="I787">
        <v>339.56</v>
      </c>
    </row>
    <row r="788" spans="1:9" x14ac:dyDescent="0.3">
      <c r="A788" t="s">
        <v>1010</v>
      </c>
      <c r="B788" s="1">
        <v>45432</v>
      </c>
      <c r="C788" t="s">
        <v>17</v>
      </c>
      <c r="D788" t="s">
        <v>21</v>
      </c>
      <c r="E788" t="s">
        <v>36</v>
      </c>
      <c r="F788" t="s">
        <v>323</v>
      </c>
      <c r="G788">
        <v>4990.9799999999996</v>
      </c>
      <c r="H788">
        <v>1</v>
      </c>
      <c r="I788">
        <v>-478.95</v>
      </c>
    </row>
    <row r="789" spans="1:9" x14ac:dyDescent="0.3">
      <c r="A789" t="s">
        <v>1011</v>
      </c>
      <c r="B789" s="1">
        <v>45617</v>
      </c>
      <c r="C789" t="s">
        <v>25</v>
      </c>
      <c r="D789" t="s">
        <v>21</v>
      </c>
      <c r="E789" t="s">
        <v>36</v>
      </c>
      <c r="F789" t="s">
        <v>375</v>
      </c>
      <c r="G789">
        <v>3452.47</v>
      </c>
      <c r="H789">
        <v>5</v>
      </c>
      <c r="I789">
        <v>-261.67</v>
      </c>
    </row>
    <row r="790" spans="1:9" x14ac:dyDescent="0.3">
      <c r="A790" t="s">
        <v>1012</v>
      </c>
      <c r="B790" s="1">
        <v>45303</v>
      </c>
      <c r="C790" t="s">
        <v>25</v>
      </c>
      <c r="D790" t="s">
        <v>11</v>
      </c>
      <c r="E790" t="s">
        <v>12</v>
      </c>
      <c r="F790" t="s">
        <v>209</v>
      </c>
      <c r="G790">
        <v>701.46</v>
      </c>
      <c r="H790">
        <v>3</v>
      </c>
      <c r="I790">
        <v>60.2</v>
      </c>
    </row>
    <row r="791" spans="1:9" x14ac:dyDescent="0.3">
      <c r="A791" t="s">
        <v>1013</v>
      </c>
      <c r="B791" s="1">
        <v>46012</v>
      </c>
      <c r="C791" t="s">
        <v>28</v>
      </c>
      <c r="D791" t="s">
        <v>32</v>
      </c>
      <c r="E791" t="s">
        <v>39</v>
      </c>
      <c r="F791" t="s">
        <v>19</v>
      </c>
      <c r="G791">
        <v>4408.96</v>
      </c>
      <c r="H791">
        <v>2</v>
      </c>
      <c r="I791">
        <v>1158.57</v>
      </c>
    </row>
    <row r="792" spans="1:9" x14ac:dyDescent="0.3">
      <c r="A792" t="s">
        <v>1014</v>
      </c>
      <c r="B792" s="1">
        <v>45643</v>
      </c>
      <c r="C792" t="s">
        <v>25</v>
      </c>
      <c r="D792" t="s">
        <v>21</v>
      </c>
      <c r="E792" t="s">
        <v>29</v>
      </c>
      <c r="F792" t="s">
        <v>74</v>
      </c>
      <c r="G792">
        <v>3482.41</v>
      </c>
      <c r="H792">
        <v>7</v>
      </c>
      <c r="I792">
        <v>-248.54</v>
      </c>
    </row>
    <row r="793" spans="1:9" x14ac:dyDescent="0.3">
      <c r="A793" t="s">
        <v>1015</v>
      </c>
      <c r="B793" s="1">
        <v>45399</v>
      </c>
      <c r="C793" t="s">
        <v>10</v>
      </c>
      <c r="D793" t="s">
        <v>21</v>
      </c>
      <c r="E793" t="s">
        <v>36</v>
      </c>
      <c r="F793" t="s">
        <v>195</v>
      </c>
      <c r="G793">
        <v>1009.74</v>
      </c>
      <c r="H793">
        <v>1</v>
      </c>
      <c r="I793">
        <v>257.05</v>
      </c>
    </row>
    <row r="794" spans="1:9" x14ac:dyDescent="0.3">
      <c r="A794" t="s">
        <v>1016</v>
      </c>
      <c r="B794" s="1">
        <v>45697</v>
      </c>
      <c r="C794" t="s">
        <v>25</v>
      </c>
      <c r="D794" t="s">
        <v>32</v>
      </c>
      <c r="E794" t="s">
        <v>73</v>
      </c>
      <c r="F794" t="s">
        <v>294</v>
      </c>
      <c r="G794">
        <v>1649.8</v>
      </c>
      <c r="H794">
        <v>4</v>
      </c>
      <c r="I794">
        <v>-103.53</v>
      </c>
    </row>
    <row r="795" spans="1:9" x14ac:dyDescent="0.3">
      <c r="A795" t="s">
        <v>1017</v>
      </c>
      <c r="B795" s="1">
        <v>45856</v>
      </c>
      <c r="C795" t="s">
        <v>17</v>
      </c>
      <c r="D795" t="s">
        <v>21</v>
      </c>
      <c r="E795" t="s">
        <v>22</v>
      </c>
      <c r="F795" t="s">
        <v>176</v>
      </c>
      <c r="G795">
        <v>3931.74</v>
      </c>
      <c r="H795">
        <v>10</v>
      </c>
      <c r="I795">
        <v>566.29</v>
      </c>
    </row>
    <row r="796" spans="1:9" x14ac:dyDescent="0.3">
      <c r="A796" t="s">
        <v>1018</v>
      </c>
      <c r="B796" s="1">
        <v>45311</v>
      </c>
      <c r="C796" t="s">
        <v>28</v>
      </c>
      <c r="D796" t="s">
        <v>32</v>
      </c>
      <c r="E796" t="s">
        <v>73</v>
      </c>
      <c r="F796" t="s">
        <v>166</v>
      </c>
      <c r="G796">
        <v>3474.91</v>
      </c>
      <c r="H796">
        <v>6</v>
      </c>
      <c r="I796">
        <v>1000.58</v>
      </c>
    </row>
    <row r="797" spans="1:9" x14ac:dyDescent="0.3">
      <c r="A797" t="s">
        <v>1019</v>
      </c>
      <c r="B797" s="1">
        <v>45371</v>
      </c>
      <c r="C797" t="s">
        <v>17</v>
      </c>
      <c r="D797" t="s">
        <v>32</v>
      </c>
      <c r="E797" t="s">
        <v>39</v>
      </c>
      <c r="F797" t="s">
        <v>643</v>
      </c>
      <c r="G797">
        <v>3133.23</v>
      </c>
      <c r="H797">
        <v>8</v>
      </c>
      <c r="I797">
        <v>102</v>
      </c>
    </row>
    <row r="798" spans="1:9" x14ac:dyDescent="0.3">
      <c r="A798" t="s">
        <v>1020</v>
      </c>
      <c r="B798" s="1">
        <v>45656</v>
      </c>
      <c r="C798" t="s">
        <v>25</v>
      </c>
      <c r="D798" t="s">
        <v>11</v>
      </c>
      <c r="E798" t="s">
        <v>18</v>
      </c>
      <c r="F798" t="s">
        <v>68</v>
      </c>
      <c r="G798">
        <v>3854.51</v>
      </c>
      <c r="H798">
        <v>4</v>
      </c>
      <c r="I798">
        <v>-136.22999999999999</v>
      </c>
    </row>
    <row r="799" spans="1:9" x14ac:dyDescent="0.3">
      <c r="A799" t="s">
        <v>1021</v>
      </c>
      <c r="B799" s="1">
        <v>45424</v>
      </c>
      <c r="C799" t="s">
        <v>10</v>
      </c>
      <c r="D799" t="s">
        <v>21</v>
      </c>
      <c r="E799" t="s">
        <v>29</v>
      </c>
      <c r="F799" t="s">
        <v>211</v>
      </c>
      <c r="G799">
        <v>441.42</v>
      </c>
      <c r="H799">
        <v>5</v>
      </c>
      <c r="I799">
        <v>-28.87</v>
      </c>
    </row>
    <row r="800" spans="1:9" x14ac:dyDescent="0.3">
      <c r="A800" t="s">
        <v>1022</v>
      </c>
      <c r="B800" s="1">
        <v>45800</v>
      </c>
      <c r="C800" t="s">
        <v>28</v>
      </c>
      <c r="D800" t="s">
        <v>21</v>
      </c>
      <c r="E800" t="s">
        <v>29</v>
      </c>
      <c r="F800" t="s">
        <v>173</v>
      </c>
      <c r="G800">
        <v>2641.78</v>
      </c>
      <c r="H800">
        <v>3</v>
      </c>
      <c r="I800">
        <v>-176.77</v>
      </c>
    </row>
    <row r="801" spans="1:9" x14ac:dyDescent="0.3">
      <c r="A801" t="s">
        <v>1023</v>
      </c>
      <c r="B801" s="1">
        <v>45851</v>
      </c>
      <c r="C801" t="s">
        <v>17</v>
      </c>
      <c r="D801" t="s">
        <v>11</v>
      </c>
      <c r="E801" t="s">
        <v>48</v>
      </c>
      <c r="F801" t="s">
        <v>898</v>
      </c>
      <c r="G801">
        <v>2350.5700000000002</v>
      </c>
      <c r="H801">
        <v>3</v>
      </c>
      <c r="I801">
        <v>379.05</v>
      </c>
    </row>
    <row r="802" spans="1:9" x14ac:dyDescent="0.3">
      <c r="A802" t="s">
        <v>1024</v>
      </c>
      <c r="B802" s="1">
        <v>45475</v>
      </c>
      <c r="C802" t="s">
        <v>25</v>
      </c>
      <c r="D802" t="s">
        <v>32</v>
      </c>
      <c r="E802" t="s">
        <v>33</v>
      </c>
      <c r="F802" t="s">
        <v>239</v>
      </c>
      <c r="G802">
        <v>1190.6300000000001</v>
      </c>
      <c r="H802">
        <v>10</v>
      </c>
      <c r="I802">
        <v>58.81</v>
      </c>
    </row>
    <row r="803" spans="1:9" x14ac:dyDescent="0.3">
      <c r="A803" t="s">
        <v>1025</v>
      </c>
      <c r="B803" s="1">
        <v>45730</v>
      </c>
      <c r="C803" t="s">
        <v>25</v>
      </c>
      <c r="D803" t="s">
        <v>21</v>
      </c>
      <c r="E803" t="s">
        <v>29</v>
      </c>
      <c r="F803" t="s">
        <v>168</v>
      </c>
      <c r="G803">
        <v>3583.03</v>
      </c>
      <c r="H803">
        <v>5</v>
      </c>
      <c r="I803">
        <v>946.39</v>
      </c>
    </row>
    <row r="804" spans="1:9" x14ac:dyDescent="0.3">
      <c r="A804" t="s">
        <v>1026</v>
      </c>
      <c r="B804" s="1">
        <v>45555</v>
      </c>
      <c r="C804" t="s">
        <v>25</v>
      </c>
      <c r="D804" t="s">
        <v>21</v>
      </c>
      <c r="E804" t="s">
        <v>36</v>
      </c>
      <c r="F804" t="s">
        <v>154</v>
      </c>
      <c r="G804">
        <v>3365.43</v>
      </c>
      <c r="H804">
        <v>4</v>
      </c>
      <c r="I804">
        <v>-196.36</v>
      </c>
    </row>
    <row r="805" spans="1:9" x14ac:dyDescent="0.3">
      <c r="A805" t="s">
        <v>1027</v>
      </c>
      <c r="B805" s="1">
        <v>45701</v>
      </c>
      <c r="C805" t="s">
        <v>28</v>
      </c>
      <c r="D805" t="s">
        <v>21</v>
      </c>
      <c r="E805" t="s">
        <v>36</v>
      </c>
      <c r="F805" t="s">
        <v>121</v>
      </c>
      <c r="G805">
        <v>4887.18</v>
      </c>
      <c r="H805">
        <v>7</v>
      </c>
      <c r="I805">
        <v>-260.58</v>
      </c>
    </row>
    <row r="806" spans="1:9" x14ac:dyDescent="0.3">
      <c r="A806" t="s">
        <v>1028</v>
      </c>
      <c r="B806" s="1">
        <v>45767</v>
      </c>
      <c r="C806" t="s">
        <v>17</v>
      </c>
      <c r="D806" t="s">
        <v>21</v>
      </c>
      <c r="E806" t="s">
        <v>29</v>
      </c>
      <c r="F806" t="s">
        <v>123</v>
      </c>
      <c r="G806">
        <v>2325.73</v>
      </c>
      <c r="H806">
        <v>6</v>
      </c>
      <c r="I806">
        <v>218.27</v>
      </c>
    </row>
    <row r="807" spans="1:9" x14ac:dyDescent="0.3">
      <c r="A807" t="s">
        <v>1029</v>
      </c>
      <c r="B807" s="1">
        <v>45533</v>
      </c>
      <c r="C807" t="s">
        <v>17</v>
      </c>
      <c r="D807" t="s">
        <v>32</v>
      </c>
      <c r="E807" t="s">
        <v>33</v>
      </c>
      <c r="F807" t="s">
        <v>232</v>
      </c>
      <c r="G807">
        <v>4380.55</v>
      </c>
      <c r="H807">
        <v>3</v>
      </c>
      <c r="I807">
        <v>-66.98</v>
      </c>
    </row>
    <row r="808" spans="1:9" x14ac:dyDescent="0.3">
      <c r="A808" t="s">
        <v>1030</v>
      </c>
      <c r="B808" s="1">
        <v>45379</v>
      </c>
      <c r="C808" t="s">
        <v>17</v>
      </c>
      <c r="D808" t="s">
        <v>11</v>
      </c>
      <c r="E808" t="s">
        <v>48</v>
      </c>
      <c r="F808" t="s">
        <v>424</v>
      </c>
      <c r="G808">
        <v>3844.34</v>
      </c>
      <c r="H808">
        <v>2</v>
      </c>
      <c r="I808">
        <v>533.67999999999995</v>
      </c>
    </row>
    <row r="809" spans="1:9" x14ac:dyDescent="0.3">
      <c r="A809" t="s">
        <v>1031</v>
      </c>
      <c r="B809" s="1">
        <v>45870</v>
      </c>
      <c r="C809" t="s">
        <v>10</v>
      </c>
      <c r="D809" t="s">
        <v>11</v>
      </c>
      <c r="E809" t="s">
        <v>48</v>
      </c>
      <c r="F809" t="s">
        <v>393</v>
      </c>
      <c r="G809">
        <v>221.76</v>
      </c>
      <c r="H809">
        <v>6</v>
      </c>
      <c r="I809">
        <v>24.75</v>
      </c>
    </row>
    <row r="810" spans="1:9" x14ac:dyDescent="0.3">
      <c r="A810" t="s">
        <v>1032</v>
      </c>
      <c r="B810" s="1">
        <v>45413</v>
      </c>
      <c r="C810" t="s">
        <v>17</v>
      </c>
      <c r="D810" t="s">
        <v>32</v>
      </c>
      <c r="E810" t="s">
        <v>73</v>
      </c>
      <c r="F810" t="s">
        <v>1033</v>
      </c>
      <c r="G810">
        <v>2481.83</v>
      </c>
      <c r="H810">
        <v>5</v>
      </c>
      <c r="I810">
        <v>-25.47</v>
      </c>
    </row>
    <row r="811" spans="1:9" x14ac:dyDescent="0.3">
      <c r="A811" t="s">
        <v>1034</v>
      </c>
      <c r="B811" s="1">
        <v>45401</v>
      </c>
      <c r="C811" t="s">
        <v>10</v>
      </c>
      <c r="D811" t="s">
        <v>11</v>
      </c>
      <c r="E811" t="s">
        <v>12</v>
      </c>
      <c r="F811" t="s">
        <v>626</v>
      </c>
      <c r="G811">
        <v>3740.44</v>
      </c>
      <c r="H811">
        <v>6</v>
      </c>
      <c r="I811">
        <v>675.08</v>
      </c>
    </row>
    <row r="812" spans="1:9" x14ac:dyDescent="0.3">
      <c r="A812" t="s">
        <v>1035</v>
      </c>
      <c r="B812" s="1">
        <v>45331</v>
      </c>
      <c r="C812" t="s">
        <v>10</v>
      </c>
      <c r="D812" t="s">
        <v>21</v>
      </c>
      <c r="E812" t="s">
        <v>22</v>
      </c>
      <c r="F812" t="s">
        <v>202</v>
      </c>
      <c r="G812">
        <v>947.25</v>
      </c>
      <c r="H812">
        <v>8</v>
      </c>
      <c r="I812">
        <v>122.12</v>
      </c>
    </row>
    <row r="813" spans="1:9" x14ac:dyDescent="0.3">
      <c r="A813" t="s">
        <v>1036</v>
      </c>
      <c r="B813" s="1">
        <v>45625</v>
      </c>
      <c r="C813" t="s">
        <v>17</v>
      </c>
      <c r="D813" t="s">
        <v>32</v>
      </c>
      <c r="E813" t="s">
        <v>39</v>
      </c>
      <c r="F813" t="s">
        <v>90</v>
      </c>
      <c r="G813">
        <v>4620.5</v>
      </c>
      <c r="H813">
        <v>5</v>
      </c>
      <c r="I813">
        <v>966.13</v>
      </c>
    </row>
    <row r="814" spans="1:9" x14ac:dyDescent="0.3">
      <c r="A814" t="s">
        <v>1037</v>
      </c>
      <c r="B814" s="1">
        <v>45982</v>
      </c>
      <c r="C814" t="s">
        <v>10</v>
      </c>
      <c r="D814" t="s">
        <v>11</v>
      </c>
      <c r="E814" t="s">
        <v>48</v>
      </c>
      <c r="F814" t="s">
        <v>562</v>
      </c>
      <c r="G814">
        <v>1024.79</v>
      </c>
      <c r="H814">
        <v>7</v>
      </c>
      <c r="I814">
        <v>-23.65</v>
      </c>
    </row>
    <row r="815" spans="1:9" x14ac:dyDescent="0.3">
      <c r="A815" t="s">
        <v>1038</v>
      </c>
      <c r="B815" s="1">
        <v>45839</v>
      </c>
      <c r="C815" t="s">
        <v>25</v>
      </c>
      <c r="D815" t="s">
        <v>32</v>
      </c>
      <c r="E815" t="s">
        <v>73</v>
      </c>
      <c r="F815" t="s">
        <v>541</v>
      </c>
      <c r="G815">
        <v>2241.0500000000002</v>
      </c>
      <c r="H815">
        <v>4</v>
      </c>
      <c r="I815">
        <v>471.86</v>
      </c>
    </row>
    <row r="816" spans="1:9" x14ac:dyDescent="0.3">
      <c r="A816" t="s">
        <v>1039</v>
      </c>
      <c r="B816" s="1">
        <v>45504</v>
      </c>
      <c r="C816" t="s">
        <v>17</v>
      </c>
      <c r="D816" t="s">
        <v>11</v>
      </c>
      <c r="E816" t="s">
        <v>18</v>
      </c>
      <c r="F816" t="s">
        <v>626</v>
      </c>
      <c r="G816">
        <v>276.52999999999997</v>
      </c>
      <c r="H816">
        <v>6</v>
      </c>
      <c r="I816">
        <v>7.92</v>
      </c>
    </row>
    <row r="817" spans="1:9" x14ac:dyDescent="0.3">
      <c r="A817" t="s">
        <v>1040</v>
      </c>
      <c r="B817" s="1">
        <v>45474</v>
      </c>
      <c r="C817" t="s">
        <v>25</v>
      </c>
      <c r="D817" t="s">
        <v>32</v>
      </c>
      <c r="E817" t="s">
        <v>39</v>
      </c>
      <c r="F817" t="s">
        <v>313</v>
      </c>
      <c r="G817">
        <v>3979.01</v>
      </c>
      <c r="H817">
        <v>3</v>
      </c>
      <c r="I817">
        <v>-4.75</v>
      </c>
    </row>
    <row r="818" spans="1:9" x14ac:dyDescent="0.3">
      <c r="A818" t="s">
        <v>1041</v>
      </c>
      <c r="B818" s="1">
        <v>45307</v>
      </c>
      <c r="C818" t="s">
        <v>10</v>
      </c>
      <c r="D818" t="s">
        <v>32</v>
      </c>
      <c r="E818" t="s">
        <v>33</v>
      </c>
      <c r="F818" t="s">
        <v>298</v>
      </c>
      <c r="G818">
        <v>3176.15</v>
      </c>
      <c r="H818">
        <v>7</v>
      </c>
      <c r="I818">
        <v>825.71</v>
      </c>
    </row>
    <row r="819" spans="1:9" x14ac:dyDescent="0.3">
      <c r="A819" t="s">
        <v>1042</v>
      </c>
      <c r="B819" s="1">
        <v>45660</v>
      </c>
      <c r="C819" t="s">
        <v>25</v>
      </c>
      <c r="D819" t="s">
        <v>32</v>
      </c>
      <c r="E819" t="s">
        <v>39</v>
      </c>
      <c r="F819" t="s">
        <v>178</v>
      </c>
      <c r="G819">
        <v>3368.71</v>
      </c>
      <c r="H819">
        <v>2</v>
      </c>
      <c r="I819">
        <v>-50.6</v>
      </c>
    </row>
    <row r="820" spans="1:9" x14ac:dyDescent="0.3">
      <c r="A820" t="s">
        <v>1043</v>
      </c>
      <c r="B820" s="1">
        <v>45503</v>
      </c>
      <c r="C820" t="s">
        <v>28</v>
      </c>
      <c r="D820" t="s">
        <v>11</v>
      </c>
      <c r="E820" t="s">
        <v>12</v>
      </c>
      <c r="F820" t="s">
        <v>152</v>
      </c>
      <c r="G820">
        <v>1492.35</v>
      </c>
      <c r="H820">
        <v>7</v>
      </c>
      <c r="I820">
        <v>72.849999999999994</v>
      </c>
    </row>
    <row r="821" spans="1:9" x14ac:dyDescent="0.3">
      <c r="A821" t="s">
        <v>1044</v>
      </c>
      <c r="B821" s="1">
        <v>46017</v>
      </c>
      <c r="C821" t="s">
        <v>17</v>
      </c>
      <c r="D821" t="s">
        <v>32</v>
      </c>
      <c r="E821" t="s">
        <v>33</v>
      </c>
      <c r="F821" t="s">
        <v>569</v>
      </c>
      <c r="G821">
        <v>486.59</v>
      </c>
      <c r="H821">
        <v>1</v>
      </c>
      <c r="I821">
        <v>44.8</v>
      </c>
    </row>
    <row r="822" spans="1:9" x14ac:dyDescent="0.3">
      <c r="A822" t="s">
        <v>1045</v>
      </c>
      <c r="B822" s="1">
        <v>45749</v>
      </c>
      <c r="C822" t="s">
        <v>17</v>
      </c>
      <c r="D822" t="s">
        <v>11</v>
      </c>
      <c r="E822" t="s">
        <v>18</v>
      </c>
      <c r="F822" t="s">
        <v>643</v>
      </c>
      <c r="G822">
        <v>1978.04</v>
      </c>
      <c r="H822">
        <v>7</v>
      </c>
      <c r="I822">
        <v>-81.8</v>
      </c>
    </row>
    <row r="823" spans="1:9" x14ac:dyDescent="0.3">
      <c r="A823" t="s">
        <v>1046</v>
      </c>
      <c r="B823" s="1">
        <v>45406</v>
      </c>
      <c r="C823" t="s">
        <v>17</v>
      </c>
      <c r="D823" t="s">
        <v>11</v>
      </c>
      <c r="E823" t="s">
        <v>12</v>
      </c>
      <c r="F823" t="s">
        <v>226</v>
      </c>
      <c r="G823">
        <v>2697.97</v>
      </c>
      <c r="H823">
        <v>3</v>
      </c>
      <c r="I823">
        <v>458.36</v>
      </c>
    </row>
    <row r="824" spans="1:9" x14ac:dyDescent="0.3">
      <c r="A824" t="s">
        <v>1047</v>
      </c>
      <c r="B824" s="1">
        <v>45332</v>
      </c>
      <c r="C824" t="s">
        <v>28</v>
      </c>
      <c r="D824" t="s">
        <v>11</v>
      </c>
      <c r="E824" t="s">
        <v>12</v>
      </c>
      <c r="F824" t="s">
        <v>246</v>
      </c>
      <c r="G824">
        <v>4147.5200000000004</v>
      </c>
      <c r="H824">
        <v>2</v>
      </c>
      <c r="I824">
        <v>132.61000000000001</v>
      </c>
    </row>
    <row r="825" spans="1:9" x14ac:dyDescent="0.3">
      <c r="A825" t="s">
        <v>1048</v>
      </c>
      <c r="B825" s="1">
        <v>45859</v>
      </c>
      <c r="C825" t="s">
        <v>28</v>
      </c>
      <c r="D825" t="s">
        <v>11</v>
      </c>
      <c r="E825" t="s">
        <v>48</v>
      </c>
      <c r="F825" t="s">
        <v>125</v>
      </c>
      <c r="G825">
        <v>3500.63</v>
      </c>
      <c r="H825">
        <v>4</v>
      </c>
      <c r="I825">
        <v>-30.1</v>
      </c>
    </row>
    <row r="826" spans="1:9" x14ac:dyDescent="0.3">
      <c r="A826" t="s">
        <v>1049</v>
      </c>
      <c r="B826" s="1">
        <v>46019</v>
      </c>
      <c r="C826" t="s">
        <v>28</v>
      </c>
      <c r="D826" t="s">
        <v>32</v>
      </c>
      <c r="E826" t="s">
        <v>33</v>
      </c>
      <c r="F826" t="s">
        <v>40</v>
      </c>
      <c r="G826">
        <v>2977.15</v>
      </c>
      <c r="H826">
        <v>3</v>
      </c>
      <c r="I826">
        <v>234.36</v>
      </c>
    </row>
    <row r="827" spans="1:9" x14ac:dyDescent="0.3">
      <c r="A827" t="s">
        <v>1050</v>
      </c>
      <c r="B827" s="1">
        <v>45925</v>
      </c>
      <c r="C827" t="s">
        <v>28</v>
      </c>
      <c r="D827" t="s">
        <v>11</v>
      </c>
      <c r="E827" t="s">
        <v>48</v>
      </c>
      <c r="F827" t="s">
        <v>232</v>
      </c>
      <c r="G827">
        <v>3590.98</v>
      </c>
      <c r="H827">
        <v>4</v>
      </c>
      <c r="I827">
        <v>-82.27</v>
      </c>
    </row>
    <row r="828" spans="1:9" x14ac:dyDescent="0.3">
      <c r="A828" t="s">
        <v>1051</v>
      </c>
      <c r="B828" s="1">
        <v>45602</v>
      </c>
      <c r="C828" t="s">
        <v>10</v>
      </c>
      <c r="D828" t="s">
        <v>21</v>
      </c>
      <c r="E828" t="s">
        <v>29</v>
      </c>
      <c r="F828" t="s">
        <v>190</v>
      </c>
      <c r="G828">
        <v>76.67</v>
      </c>
      <c r="H828">
        <v>10</v>
      </c>
      <c r="I828">
        <v>12.87</v>
      </c>
    </row>
    <row r="829" spans="1:9" x14ac:dyDescent="0.3">
      <c r="A829" t="s">
        <v>1052</v>
      </c>
      <c r="B829" s="1">
        <v>45926</v>
      </c>
      <c r="C829" t="s">
        <v>25</v>
      </c>
      <c r="D829" t="s">
        <v>21</v>
      </c>
      <c r="E829" t="s">
        <v>29</v>
      </c>
      <c r="F829" t="s">
        <v>192</v>
      </c>
      <c r="G829">
        <v>1550.13</v>
      </c>
      <c r="H829">
        <v>3</v>
      </c>
      <c r="I829">
        <v>449.93</v>
      </c>
    </row>
    <row r="830" spans="1:9" x14ac:dyDescent="0.3">
      <c r="A830" t="s">
        <v>1053</v>
      </c>
      <c r="B830" s="1">
        <v>45598</v>
      </c>
      <c r="C830" t="s">
        <v>25</v>
      </c>
      <c r="D830" t="s">
        <v>11</v>
      </c>
      <c r="E830" t="s">
        <v>48</v>
      </c>
      <c r="F830" t="s">
        <v>219</v>
      </c>
      <c r="G830">
        <v>1248.48</v>
      </c>
      <c r="H830">
        <v>8</v>
      </c>
      <c r="I830">
        <v>297.37</v>
      </c>
    </row>
    <row r="831" spans="1:9" x14ac:dyDescent="0.3">
      <c r="A831" t="s">
        <v>1054</v>
      </c>
      <c r="B831" s="1">
        <v>45294</v>
      </c>
      <c r="C831" t="s">
        <v>25</v>
      </c>
      <c r="D831" t="s">
        <v>21</v>
      </c>
      <c r="E831" t="s">
        <v>22</v>
      </c>
      <c r="F831" t="s">
        <v>772</v>
      </c>
      <c r="G831">
        <v>730.99</v>
      </c>
      <c r="H831">
        <v>9</v>
      </c>
      <c r="I831">
        <v>-57.18</v>
      </c>
    </row>
    <row r="832" spans="1:9" x14ac:dyDescent="0.3">
      <c r="A832" t="s">
        <v>1055</v>
      </c>
      <c r="B832" s="1">
        <v>45617</v>
      </c>
      <c r="C832" t="s">
        <v>17</v>
      </c>
      <c r="D832" t="s">
        <v>32</v>
      </c>
      <c r="E832" t="s">
        <v>73</v>
      </c>
      <c r="F832" t="s">
        <v>125</v>
      </c>
      <c r="G832">
        <v>438.09</v>
      </c>
      <c r="H832">
        <v>3</v>
      </c>
      <c r="I832">
        <v>92.66</v>
      </c>
    </row>
    <row r="833" spans="1:9" x14ac:dyDescent="0.3">
      <c r="A833" t="s">
        <v>1056</v>
      </c>
      <c r="B833" s="1">
        <v>45877</v>
      </c>
      <c r="C833" t="s">
        <v>17</v>
      </c>
      <c r="D833" t="s">
        <v>32</v>
      </c>
      <c r="E833" t="s">
        <v>39</v>
      </c>
      <c r="F833" t="s">
        <v>215</v>
      </c>
      <c r="G833">
        <v>3948.67</v>
      </c>
      <c r="H833">
        <v>8</v>
      </c>
      <c r="I833">
        <v>74.84</v>
      </c>
    </row>
    <row r="834" spans="1:9" x14ac:dyDescent="0.3">
      <c r="A834" t="s">
        <v>1057</v>
      </c>
      <c r="B834" s="1">
        <v>45598</v>
      </c>
      <c r="C834" t="s">
        <v>17</v>
      </c>
      <c r="D834" t="s">
        <v>32</v>
      </c>
      <c r="E834" t="s">
        <v>39</v>
      </c>
      <c r="F834" t="s">
        <v>688</v>
      </c>
      <c r="G834">
        <v>2007.24</v>
      </c>
      <c r="H834">
        <v>1</v>
      </c>
      <c r="I834">
        <v>577.03</v>
      </c>
    </row>
    <row r="835" spans="1:9" x14ac:dyDescent="0.3">
      <c r="A835" t="s">
        <v>1058</v>
      </c>
      <c r="B835" s="1">
        <v>45416</v>
      </c>
      <c r="C835" t="s">
        <v>10</v>
      </c>
      <c r="D835" t="s">
        <v>32</v>
      </c>
      <c r="E835" t="s">
        <v>33</v>
      </c>
      <c r="F835" t="s">
        <v>74</v>
      </c>
      <c r="G835">
        <v>4028.9</v>
      </c>
      <c r="H835">
        <v>1</v>
      </c>
      <c r="I835">
        <v>-399.64</v>
      </c>
    </row>
    <row r="836" spans="1:9" x14ac:dyDescent="0.3">
      <c r="A836" t="s">
        <v>1059</v>
      </c>
      <c r="B836" s="1">
        <v>45629</v>
      </c>
      <c r="C836" t="s">
        <v>25</v>
      </c>
      <c r="D836" t="s">
        <v>21</v>
      </c>
      <c r="E836" t="s">
        <v>22</v>
      </c>
      <c r="F836" t="s">
        <v>148</v>
      </c>
      <c r="G836">
        <v>2687.11</v>
      </c>
      <c r="H836">
        <v>9</v>
      </c>
      <c r="I836">
        <v>761.22</v>
      </c>
    </row>
    <row r="837" spans="1:9" x14ac:dyDescent="0.3">
      <c r="A837" t="s">
        <v>1060</v>
      </c>
      <c r="B837" s="1">
        <v>45915</v>
      </c>
      <c r="C837" t="s">
        <v>25</v>
      </c>
      <c r="D837" t="s">
        <v>11</v>
      </c>
      <c r="E837" t="s">
        <v>12</v>
      </c>
      <c r="F837" t="s">
        <v>257</v>
      </c>
      <c r="G837">
        <v>3894.07</v>
      </c>
      <c r="H837">
        <v>6</v>
      </c>
      <c r="I837">
        <v>-281.02</v>
      </c>
    </row>
    <row r="838" spans="1:9" x14ac:dyDescent="0.3">
      <c r="A838" t="s">
        <v>1061</v>
      </c>
      <c r="B838" s="1">
        <v>45914</v>
      </c>
      <c r="C838" t="s">
        <v>10</v>
      </c>
      <c r="D838" t="s">
        <v>21</v>
      </c>
      <c r="E838" t="s">
        <v>29</v>
      </c>
      <c r="F838" t="s">
        <v>404</v>
      </c>
      <c r="G838">
        <v>1149.74</v>
      </c>
      <c r="H838">
        <v>6</v>
      </c>
      <c r="I838">
        <v>124.34</v>
      </c>
    </row>
    <row r="839" spans="1:9" x14ac:dyDescent="0.3">
      <c r="A839" t="s">
        <v>1062</v>
      </c>
      <c r="B839" s="1">
        <v>45441</v>
      </c>
      <c r="C839" t="s">
        <v>10</v>
      </c>
      <c r="D839" t="s">
        <v>32</v>
      </c>
      <c r="E839" t="s">
        <v>73</v>
      </c>
      <c r="F839" t="s">
        <v>576</v>
      </c>
      <c r="G839">
        <v>978.17</v>
      </c>
      <c r="H839">
        <v>10</v>
      </c>
      <c r="I839">
        <v>217.67</v>
      </c>
    </row>
    <row r="840" spans="1:9" x14ac:dyDescent="0.3">
      <c r="A840" t="s">
        <v>1063</v>
      </c>
      <c r="B840" s="1">
        <v>45498</v>
      </c>
      <c r="C840" t="s">
        <v>10</v>
      </c>
      <c r="D840" t="s">
        <v>32</v>
      </c>
      <c r="E840" t="s">
        <v>39</v>
      </c>
      <c r="F840" t="s">
        <v>137</v>
      </c>
      <c r="G840">
        <v>3340.66</v>
      </c>
      <c r="H840">
        <v>5</v>
      </c>
      <c r="I840">
        <v>138.44</v>
      </c>
    </row>
    <row r="841" spans="1:9" x14ac:dyDescent="0.3">
      <c r="A841" t="s">
        <v>1064</v>
      </c>
      <c r="B841" s="1">
        <v>45905</v>
      </c>
      <c r="C841" t="s">
        <v>25</v>
      </c>
      <c r="D841" t="s">
        <v>11</v>
      </c>
      <c r="E841" t="s">
        <v>48</v>
      </c>
      <c r="F841" t="s">
        <v>602</v>
      </c>
      <c r="G841">
        <v>3985.79</v>
      </c>
      <c r="H841">
        <v>3</v>
      </c>
      <c r="I841">
        <v>339.71</v>
      </c>
    </row>
    <row r="842" spans="1:9" x14ac:dyDescent="0.3">
      <c r="A842" t="s">
        <v>1065</v>
      </c>
      <c r="B842" s="1">
        <v>45353</v>
      </c>
      <c r="C842" t="s">
        <v>28</v>
      </c>
      <c r="D842" t="s">
        <v>21</v>
      </c>
      <c r="E842" t="s">
        <v>22</v>
      </c>
      <c r="F842" t="s">
        <v>37</v>
      </c>
      <c r="G842">
        <v>403.51</v>
      </c>
      <c r="H842">
        <v>4</v>
      </c>
      <c r="I842">
        <v>101.52</v>
      </c>
    </row>
    <row r="843" spans="1:9" x14ac:dyDescent="0.3">
      <c r="A843" t="s">
        <v>1066</v>
      </c>
      <c r="B843" s="1">
        <v>45754</v>
      </c>
      <c r="C843" t="s">
        <v>28</v>
      </c>
      <c r="D843" t="s">
        <v>11</v>
      </c>
      <c r="E843" t="s">
        <v>48</v>
      </c>
      <c r="F843" t="s">
        <v>567</v>
      </c>
      <c r="G843">
        <v>115.4</v>
      </c>
      <c r="H843">
        <v>1</v>
      </c>
      <c r="I843">
        <v>31.78</v>
      </c>
    </row>
    <row r="844" spans="1:9" x14ac:dyDescent="0.3">
      <c r="A844" t="s">
        <v>1067</v>
      </c>
      <c r="B844" s="1">
        <v>45656</v>
      </c>
      <c r="C844" t="s">
        <v>25</v>
      </c>
      <c r="D844" t="s">
        <v>11</v>
      </c>
      <c r="E844" t="s">
        <v>12</v>
      </c>
      <c r="F844" t="s">
        <v>99</v>
      </c>
      <c r="G844">
        <v>3059.62</v>
      </c>
      <c r="H844">
        <v>1</v>
      </c>
      <c r="I844">
        <v>-62.62</v>
      </c>
    </row>
    <row r="845" spans="1:9" x14ac:dyDescent="0.3">
      <c r="A845" t="s">
        <v>1068</v>
      </c>
      <c r="B845" s="1">
        <v>45524</v>
      </c>
      <c r="C845" t="s">
        <v>10</v>
      </c>
      <c r="D845" t="s">
        <v>11</v>
      </c>
      <c r="E845" t="s">
        <v>18</v>
      </c>
      <c r="F845" t="s">
        <v>46</v>
      </c>
      <c r="G845">
        <v>161.02000000000001</v>
      </c>
      <c r="H845">
        <v>8</v>
      </c>
      <c r="I845">
        <v>45.75</v>
      </c>
    </row>
    <row r="846" spans="1:9" x14ac:dyDescent="0.3">
      <c r="A846" t="s">
        <v>1069</v>
      </c>
      <c r="B846" s="1">
        <v>45987</v>
      </c>
      <c r="C846" t="s">
        <v>17</v>
      </c>
      <c r="D846" t="s">
        <v>11</v>
      </c>
      <c r="E846" t="s">
        <v>12</v>
      </c>
      <c r="F846" t="s">
        <v>157</v>
      </c>
      <c r="G846">
        <v>3079.69</v>
      </c>
      <c r="H846">
        <v>10</v>
      </c>
      <c r="I846">
        <v>438.84</v>
      </c>
    </row>
    <row r="847" spans="1:9" x14ac:dyDescent="0.3">
      <c r="A847" t="s">
        <v>1070</v>
      </c>
      <c r="B847" s="1">
        <v>45396</v>
      </c>
      <c r="C847" t="s">
        <v>10</v>
      </c>
      <c r="D847" t="s">
        <v>11</v>
      </c>
      <c r="E847" t="s">
        <v>48</v>
      </c>
      <c r="F847" t="s">
        <v>298</v>
      </c>
      <c r="G847">
        <v>250.93</v>
      </c>
      <c r="H847">
        <v>3</v>
      </c>
      <c r="I847">
        <v>7.6</v>
      </c>
    </row>
    <row r="848" spans="1:9" x14ac:dyDescent="0.3">
      <c r="A848" t="s">
        <v>1071</v>
      </c>
      <c r="B848" s="1">
        <v>45687</v>
      </c>
      <c r="C848" t="s">
        <v>17</v>
      </c>
      <c r="D848" t="s">
        <v>21</v>
      </c>
      <c r="E848" t="s">
        <v>22</v>
      </c>
      <c r="F848" t="s">
        <v>42</v>
      </c>
      <c r="G848">
        <v>2916.38</v>
      </c>
      <c r="H848">
        <v>4</v>
      </c>
      <c r="I848">
        <v>568.6</v>
      </c>
    </row>
    <row r="849" spans="1:9" x14ac:dyDescent="0.3">
      <c r="A849" t="s">
        <v>1072</v>
      </c>
      <c r="B849" s="1">
        <v>46006</v>
      </c>
      <c r="C849" t="s">
        <v>17</v>
      </c>
      <c r="D849" t="s">
        <v>21</v>
      </c>
      <c r="E849" t="s">
        <v>22</v>
      </c>
      <c r="F849" t="s">
        <v>137</v>
      </c>
      <c r="G849">
        <v>54.89</v>
      </c>
      <c r="H849">
        <v>7</v>
      </c>
      <c r="I849">
        <v>15.41</v>
      </c>
    </row>
    <row r="850" spans="1:9" x14ac:dyDescent="0.3">
      <c r="A850" t="s">
        <v>1073</v>
      </c>
      <c r="B850" s="1">
        <v>45554</v>
      </c>
      <c r="C850" t="s">
        <v>25</v>
      </c>
      <c r="D850" t="s">
        <v>32</v>
      </c>
      <c r="E850" t="s">
        <v>39</v>
      </c>
      <c r="F850" t="s">
        <v>711</v>
      </c>
      <c r="G850">
        <v>1096.22</v>
      </c>
      <c r="H850">
        <v>5</v>
      </c>
      <c r="I850">
        <v>123.16</v>
      </c>
    </row>
    <row r="851" spans="1:9" x14ac:dyDescent="0.3">
      <c r="A851" t="s">
        <v>1074</v>
      </c>
      <c r="B851" s="1">
        <v>45711</v>
      </c>
      <c r="C851" t="s">
        <v>25</v>
      </c>
      <c r="D851" t="s">
        <v>21</v>
      </c>
      <c r="E851" t="s">
        <v>36</v>
      </c>
      <c r="F851" t="s">
        <v>587</v>
      </c>
      <c r="G851">
        <v>3600.04</v>
      </c>
      <c r="H851">
        <v>7</v>
      </c>
      <c r="I851">
        <v>406.47</v>
      </c>
    </row>
    <row r="852" spans="1:9" x14ac:dyDescent="0.3">
      <c r="A852" t="s">
        <v>1075</v>
      </c>
      <c r="B852" s="1">
        <v>45799</v>
      </c>
      <c r="C852" t="s">
        <v>28</v>
      </c>
      <c r="D852" t="s">
        <v>32</v>
      </c>
      <c r="E852" t="s">
        <v>39</v>
      </c>
      <c r="F852" t="s">
        <v>239</v>
      </c>
      <c r="G852">
        <v>4867.84</v>
      </c>
      <c r="H852">
        <v>10</v>
      </c>
      <c r="I852">
        <v>1057.92</v>
      </c>
    </row>
    <row r="853" spans="1:9" x14ac:dyDescent="0.3">
      <c r="A853" t="s">
        <v>1076</v>
      </c>
      <c r="B853" s="1">
        <v>45886</v>
      </c>
      <c r="C853" t="s">
        <v>10</v>
      </c>
      <c r="D853" t="s">
        <v>11</v>
      </c>
      <c r="E853" t="s">
        <v>12</v>
      </c>
      <c r="F853" t="s">
        <v>95</v>
      </c>
      <c r="G853">
        <v>4177</v>
      </c>
      <c r="H853">
        <v>7</v>
      </c>
      <c r="I853">
        <v>1174.8</v>
      </c>
    </row>
    <row r="854" spans="1:9" x14ac:dyDescent="0.3">
      <c r="A854" t="s">
        <v>1077</v>
      </c>
      <c r="B854" s="1">
        <v>45739</v>
      </c>
      <c r="C854" t="s">
        <v>10</v>
      </c>
      <c r="D854" t="s">
        <v>32</v>
      </c>
      <c r="E854" t="s">
        <v>39</v>
      </c>
      <c r="F854" t="s">
        <v>323</v>
      </c>
      <c r="G854">
        <v>4745.41</v>
      </c>
      <c r="H854">
        <v>9</v>
      </c>
      <c r="I854">
        <v>-285.07</v>
      </c>
    </row>
    <row r="855" spans="1:9" x14ac:dyDescent="0.3">
      <c r="A855" t="s">
        <v>1078</v>
      </c>
      <c r="B855" s="1">
        <v>45721</v>
      </c>
      <c r="C855" t="s">
        <v>28</v>
      </c>
      <c r="D855" t="s">
        <v>32</v>
      </c>
      <c r="E855" t="s">
        <v>39</v>
      </c>
      <c r="F855" t="s">
        <v>688</v>
      </c>
      <c r="G855">
        <v>1008.15</v>
      </c>
      <c r="H855">
        <v>7</v>
      </c>
      <c r="I855">
        <v>208.55</v>
      </c>
    </row>
    <row r="856" spans="1:9" x14ac:dyDescent="0.3">
      <c r="A856" t="s">
        <v>1079</v>
      </c>
      <c r="B856" s="1">
        <v>45400</v>
      </c>
      <c r="C856" t="s">
        <v>10</v>
      </c>
      <c r="D856" t="s">
        <v>32</v>
      </c>
      <c r="E856" t="s">
        <v>33</v>
      </c>
      <c r="F856" t="s">
        <v>270</v>
      </c>
      <c r="G856">
        <v>3541.25</v>
      </c>
      <c r="H856">
        <v>5</v>
      </c>
      <c r="I856">
        <v>1061.3</v>
      </c>
    </row>
    <row r="857" spans="1:9" x14ac:dyDescent="0.3">
      <c r="A857" t="s">
        <v>1080</v>
      </c>
      <c r="B857" s="1">
        <v>45450</v>
      </c>
      <c r="C857" t="s">
        <v>28</v>
      </c>
      <c r="D857" t="s">
        <v>32</v>
      </c>
      <c r="E857" t="s">
        <v>33</v>
      </c>
      <c r="F857" t="s">
        <v>34</v>
      </c>
      <c r="G857">
        <v>897.68</v>
      </c>
      <c r="H857">
        <v>2</v>
      </c>
      <c r="I857">
        <v>14.88</v>
      </c>
    </row>
    <row r="858" spans="1:9" x14ac:dyDescent="0.3">
      <c r="A858" t="s">
        <v>1081</v>
      </c>
      <c r="B858" s="1">
        <v>45985</v>
      </c>
      <c r="C858" t="s">
        <v>10</v>
      </c>
      <c r="D858" t="s">
        <v>21</v>
      </c>
      <c r="E858" t="s">
        <v>36</v>
      </c>
      <c r="F858" t="s">
        <v>436</v>
      </c>
      <c r="G858">
        <v>1769.97</v>
      </c>
      <c r="H858">
        <v>3</v>
      </c>
      <c r="I858">
        <v>19.96</v>
      </c>
    </row>
    <row r="859" spans="1:9" x14ac:dyDescent="0.3">
      <c r="A859" t="s">
        <v>1082</v>
      </c>
      <c r="B859" s="1">
        <v>45785</v>
      </c>
      <c r="C859" t="s">
        <v>28</v>
      </c>
      <c r="D859" t="s">
        <v>11</v>
      </c>
      <c r="E859" t="s">
        <v>18</v>
      </c>
      <c r="F859" t="s">
        <v>875</v>
      </c>
      <c r="G859">
        <v>4352.09</v>
      </c>
      <c r="H859">
        <v>5</v>
      </c>
      <c r="I859">
        <v>1283.82</v>
      </c>
    </row>
    <row r="860" spans="1:9" x14ac:dyDescent="0.3">
      <c r="A860" t="s">
        <v>1083</v>
      </c>
      <c r="B860" s="1">
        <v>45947</v>
      </c>
      <c r="C860" t="s">
        <v>17</v>
      </c>
      <c r="D860" t="s">
        <v>32</v>
      </c>
      <c r="E860" t="s">
        <v>33</v>
      </c>
      <c r="F860" t="s">
        <v>133</v>
      </c>
      <c r="G860">
        <v>2876.64</v>
      </c>
      <c r="H860">
        <v>2</v>
      </c>
      <c r="I860">
        <v>395.28</v>
      </c>
    </row>
    <row r="861" spans="1:9" x14ac:dyDescent="0.3">
      <c r="A861" t="s">
        <v>1084</v>
      </c>
      <c r="B861" s="1">
        <v>45743</v>
      </c>
      <c r="C861" t="s">
        <v>10</v>
      </c>
      <c r="D861" t="s">
        <v>32</v>
      </c>
      <c r="E861" t="s">
        <v>39</v>
      </c>
      <c r="F861" t="s">
        <v>688</v>
      </c>
      <c r="G861">
        <v>1023.78</v>
      </c>
      <c r="H861">
        <v>10</v>
      </c>
      <c r="I861">
        <v>213.47</v>
      </c>
    </row>
    <row r="862" spans="1:9" x14ac:dyDescent="0.3">
      <c r="A862" t="s">
        <v>1085</v>
      </c>
      <c r="B862" s="1">
        <v>45413</v>
      </c>
      <c r="C862" t="s">
        <v>17</v>
      </c>
      <c r="D862" t="s">
        <v>11</v>
      </c>
      <c r="E862" t="s">
        <v>18</v>
      </c>
      <c r="F862" t="s">
        <v>168</v>
      </c>
      <c r="G862">
        <v>1960.89</v>
      </c>
      <c r="H862">
        <v>8</v>
      </c>
      <c r="I862">
        <v>0.61</v>
      </c>
    </row>
    <row r="863" spans="1:9" x14ac:dyDescent="0.3">
      <c r="A863" t="s">
        <v>1086</v>
      </c>
      <c r="B863" s="1">
        <v>45332</v>
      </c>
      <c r="C863" t="s">
        <v>28</v>
      </c>
      <c r="D863" t="s">
        <v>32</v>
      </c>
      <c r="E863" t="s">
        <v>39</v>
      </c>
      <c r="F863" t="s">
        <v>337</v>
      </c>
      <c r="G863">
        <v>2167.79</v>
      </c>
      <c r="H863">
        <v>4</v>
      </c>
      <c r="I863">
        <v>342.45</v>
      </c>
    </row>
    <row r="864" spans="1:9" x14ac:dyDescent="0.3">
      <c r="A864" t="s">
        <v>1087</v>
      </c>
      <c r="B864" s="1">
        <v>45411</v>
      </c>
      <c r="C864" t="s">
        <v>17</v>
      </c>
      <c r="D864" t="s">
        <v>32</v>
      </c>
      <c r="E864" t="s">
        <v>73</v>
      </c>
      <c r="F864" t="s">
        <v>187</v>
      </c>
      <c r="G864">
        <v>2136.89</v>
      </c>
      <c r="H864">
        <v>1</v>
      </c>
      <c r="I864">
        <v>257.5</v>
      </c>
    </row>
    <row r="865" spans="1:9" x14ac:dyDescent="0.3">
      <c r="A865" t="s">
        <v>1088</v>
      </c>
      <c r="B865" s="1">
        <v>45665</v>
      </c>
      <c r="C865" t="s">
        <v>25</v>
      </c>
      <c r="D865" t="s">
        <v>21</v>
      </c>
      <c r="E865" t="s">
        <v>29</v>
      </c>
      <c r="F865" t="s">
        <v>309</v>
      </c>
      <c r="G865">
        <v>4250.18</v>
      </c>
      <c r="H865">
        <v>9</v>
      </c>
      <c r="I865">
        <v>26.64</v>
      </c>
    </row>
    <row r="866" spans="1:9" x14ac:dyDescent="0.3">
      <c r="A866" t="s">
        <v>1089</v>
      </c>
      <c r="B866" s="1">
        <v>46005</v>
      </c>
      <c r="C866" t="s">
        <v>10</v>
      </c>
      <c r="D866" t="s">
        <v>21</v>
      </c>
      <c r="E866" t="s">
        <v>29</v>
      </c>
      <c r="F866" t="s">
        <v>343</v>
      </c>
      <c r="G866">
        <v>3048.31</v>
      </c>
      <c r="H866">
        <v>5</v>
      </c>
      <c r="I866">
        <v>235.13</v>
      </c>
    </row>
    <row r="867" spans="1:9" x14ac:dyDescent="0.3">
      <c r="A867" t="s">
        <v>1090</v>
      </c>
      <c r="B867" s="1">
        <v>45697</v>
      </c>
      <c r="C867" t="s">
        <v>25</v>
      </c>
      <c r="D867" t="s">
        <v>21</v>
      </c>
      <c r="E867" t="s">
        <v>36</v>
      </c>
      <c r="F867" t="s">
        <v>59</v>
      </c>
      <c r="G867">
        <v>2026.45</v>
      </c>
      <c r="H867">
        <v>2</v>
      </c>
      <c r="I867">
        <v>113.05</v>
      </c>
    </row>
    <row r="868" spans="1:9" x14ac:dyDescent="0.3">
      <c r="A868" t="s">
        <v>1091</v>
      </c>
      <c r="B868" s="1">
        <v>45441</v>
      </c>
      <c r="C868" t="s">
        <v>10</v>
      </c>
      <c r="D868" t="s">
        <v>32</v>
      </c>
      <c r="E868" t="s">
        <v>73</v>
      </c>
      <c r="F868" t="s">
        <v>95</v>
      </c>
      <c r="G868">
        <v>933.22</v>
      </c>
      <c r="H868">
        <v>7</v>
      </c>
      <c r="I868">
        <v>44.44</v>
      </c>
    </row>
    <row r="869" spans="1:9" x14ac:dyDescent="0.3">
      <c r="A869" t="s">
        <v>1092</v>
      </c>
      <c r="B869" s="1">
        <v>45713</v>
      </c>
      <c r="C869" t="s">
        <v>25</v>
      </c>
      <c r="D869" t="s">
        <v>32</v>
      </c>
      <c r="E869" t="s">
        <v>33</v>
      </c>
      <c r="F869" t="s">
        <v>46</v>
      </c>
      <c r="G869">
        <v>1132.26</v>
      </c>
      <c r="H869">
        <v>2</v>
      </c>
      <c r="I869">
        <v>241.83</v>
      </c>
    </row>
    <row r="870" spans="1:9" x14ac:dyDescent="0.3">
      <c r="A870" t="s">
        <v>1093</v>
      </c>
      <c r="B870" s="1">
        <v>45400</v>
      </c>
      <c r="C870" t="s">
        <v>10</v>
      </c>
      <c r="D870" t="s">
        <v>32</v>
      </c>
      <c r="E870" t="s">
        <v>33</v>
      </c>
      <c r="F870" t="s">
        <v>248</v>
      </c>
      <c r="G870">
        <v>3788.54</v>
      </c>
      <c r="H870">
        <v>10</v>
      </c>
      <c r="I870">
        <v>522.79999999999995</v>
      </c>
    </row>
    <row r="871" spans="1:9" x14ac:dyDescent="0.3">
      <c r="A871" t="s">
        <v>1094</v>
      </c>
      <c r="B871" s="1">
        <v>45307</v>
      </c>
      <c r="C871" t="s">
        <v>10</v>
      </c>
      <c r="D871" t="s">
        <v>11</v>
      </c>
      <c r="E871" t="s">
        <v>12</v>
      </c>
      <c r="F871" t="s">
        <v>119</v>
      </c>
      <c r="G871">
        <v>949.47</v>
      </c>
      <c r="H871">
        <v>7</v>
      </c>
      <c r="I871">
        <v>203.98</v>
      </c>
    </row>
    <row r="872" spans="1:9" x14ac:dyDescent="0.3">
      <c r="A872" t="s">
        <v>1095</v>
      </c>
      <c r="B872" s="1">
        <v>45875</v>
      </c>
      <c r="C872" t="s">
        <v>28</v>
      </c>
      <c r="D872" t="s">
        <v>32</v>
      </c>
      <c r="E872" t="s">
        <v>39</v>
      </c>
      <c r="F872" t="s">
        <v>117</v>
      </c>
      <c r="G872">
        <v>573.53</v>
      </c>
      <c r="H872">
        <v>1</v>
      </c>
      <c r="I872">
        <v>106.18</v>
      </c>
    </row>
    <row r="873" spans="1:9" x14ac:dyDescent="0.3">
      <c r="A873" t="s">
        <v>1096</v>
      </c>
      <c r="B873" s="1">
        <v>45294</v>
      </c>
      <c r="C873" t="s">
        <v>10</v>
      </c>
      <c r="D873" t="s">
        <v>21</v>
      </c>
      <c r="E873" t="s">
        <v>29</v>
      </c>
      <c r="F873" t="s">
        <v>37</v>
      </c>
      <c r="G873">
        <v>4572.3500000000004</v>
      </c>
      <c r="H873">
        <v>5</v>
      </c>
      <c r="I873">
        <v>825.04</v>
      </c>
    </row>
    <row r="874" spans="1:9" x14ac:dyDescent="0.3">
      <c r="A874" t="s">
        <v>1097</v>
      </c>
      <c r="B874" s="1">
        <v>45876</v>
      </c>
      <c r="C874" t="s">
        <v>17</v>
      </c>
      <c r="D874" t="s">
        <v>21</v>
      </c>
      <c r="E874" t="s">
        <v>29</v>
      </c>
      <c r="F874" t="s">
        <v>160</v>
      </c>
      <c r="G874">
        <v>1098.57</v>
      </c>
      <c r="H874">
        <v>6</v>
      </c>
      <c r="I874">
        <v>149.97</v>
      </c>
    </row>
    <row r="875" spans="1:9" x14ac:dyDescent="0.3">
      <c r="A875" t="s">
        <v>1098</v>
      </c>
      <c r="B875" s="1">
        <v>45317</v>
      </c>
      <c r="C875" t="s">
        <v>17</v>
      </c>
      <c r="D875" t="s">
        <v>32</v>
      </c>
      <c r="E875" t="s">
        <v>39</v>
      </c>
      <c r="F875" t="s">
        <v>76</v>
      </c>
      <c r="G875">
        <v>2498.1999999999998</v>
      </c>
      <c r="H875">
        <v>3</v>
      </c>
      <c r="I875">
        <v>641.1</v>
      </c>
    </row>
    <row r="876" spans="1:9" x14ac:dyDescent="0.3">
      <c r="A876" t="s">
        <v>1099</v>
      </c>
      <c r="B876" s="1">
        <v>45776</v>
      </c>
      <c r="C876" t="s">
        <v>28</v>
      </c>
      <c r="D876" t="s">
        <v>21</v>
      </c>
      <c r="E876" t="s">
        <v>36</v>
      </c>
      <c r="F876" t="s">
        <v>450</v>
      </c>
      <c r="G876">
        <v>101.52</v>
      </c>
      <c r="H876">
        <v>4</v>
      </c>
      <c r="I876">
        <v>18.46</v>
      </c>
    </row>
    <row r="877" spans="1:9" x14ac:dyDescent="0.3">
      <c r="A877" t="s">
        <v>1100</v>
      </c>
      <c r="B877" s="1">
        <v>45472</v>
      </c>
      <c r="C877" t="s">
        <v>10</v>
      </c>
      <c r="D877" t="s">
        <v>21</v>
      </c>
      <c r="E877" t="s">
        <v>22</v>
      </c>
      <c r="F877" t="s">
        <v>275</v>
      </c>
      <c r="G877">
        <v>1587.74</v>
      </c>
      <c r="H877">
        <v>4</v>
      </c>
      <c r="I877">
        <v>311.3</v>
      </c>
    </row>
    <row r="878" spans="1:9" x14ac:dyDescent="0.3">
      <c r="A878" t="s">
        <v>1101</v>
      </c>
      <c r="B878" s="1">
        <v>45831</v>
      </c>
      <c r="C878" t="s">
        <v>28</v>
      </c>
      <c r="D878" t="s">
        <v>32</v>
      </c>
      <c r="E878" t="s">
        <v>73</v>
      </c>
      <c r="F878" t="s">
        <v>567</v>
      </c>
      <c r="G878">
        <v>2438.7399999999998</v>
      </c>
      <c r="H878">
        <v>6</v>
      </c>
      <c r="I878">
        <v>9.39</v>
      </c>
    </row>
    <row r="879" spans="1:9" x14ac:dyDescent="0.3">
      <c r="A879" t="s">
        <v>1102</v>
      </c>
      <c r="B879" s="1">
        <v>45889</v>
      </c>
      <c r="C879" t="s">
        <v>28</v>
      </c>
      <c r="D879" t="s">
        <v>11</v>
      </c>
      <c r="E879" t="s">
        <v>48</v>
      </c>
      <c r="F879" t="s">
        <v>78</v>
      </c>
      <c r="G879">
        <v>480.28</v>
      </c>
      <c r="H879">
        <v>5</v>
      </c>
      <c r="I879">
        <v>-32.549999999999997</v>
      </c>
    </row>
    <row r="880" spans="1:9" x14ac:dyDescent="0.3">
      <c r="A880" t="s">
        <v>1103</v>
      </c>
      <c r="B880" s="1">
        <v>45409</v>
      </c>
      <c r="C880" t="s">
        <v>28</v>
      </c>
      <c r="D880" t="s">
        <v>32</v>
      </c>
      <c r="E880" t="s">
        <v>39</v>
      </c>
      <c r="F880" t="s">
        <v>567</v>
      </c>
      <c r="G880">
        <v>676.82</v>
      </c>
      <c r="H880">
        <v>6</v>
      </c>
      <c r="I880">
        <v>-16.78</v>
      </c>
    </row>
    <row r="881" spans="1:9" x14ac:dyDescent="0.3">
      <c r="A881" t="s">
        <v>1104</v>
      </c>
      <c r="B881" s="1">
        <v>45298</v>
      </c>
      <c r="C881" t="s">
        <v>28</v>
      </c>
      <c r="D881" t="s">
        <v>32</v>
      </c>
      <c r="E881" t="s">
        <v>33</v>
      </c>
      <c r="F881" t="s">
        <v>65</v>
      </c>
      <c r="G881">
        <v>2110.42</v>
      </c>
      <c r="H881">
        <v>10</v>
      </c>
      <c r="I881">
        <v>-136.51</v>
      </c>
    </row>
    <row r="882" spans="1:9" x14ac:dyDescent="0.3">
      <c r="A882" t="s">
        <v>1105</v>
      </c>
      <c r="B882" s="1">
        <v>45798</v>
      </c>
      <c r="C882" t="s">
        <v>25</v>
      </c>
      <c r="D882" t="s">
        <v>21</v>
      </c>
      <c r="E882" t="s">
        <v>36</v>
      </c>
      <c r="F882" t="s">
        <v>279</v>
      </c>
      <c r="G882">
        <v>4921.12</v>
      </c>
      <c r="H882">
        <v>6</v>
      </c>
      <c r="I882">
        <v>333.96</v>
      </c>
    </row>
    <row r="883" spans="1:9" x14ac:dyDescent="0.3">
      <c r="A883" t="s">
        <v>1106</v>
      </c>
      <c r="B883" s="1">
        <v>45716</v>
      </c>
      <c r="C883" t="s">
        <v>10</v>
      </c>
      <c r="D883" t="s">
        <v>21</v>
      </c>
      <c r="E883" t="s">
        <v>36</v>
      </c>
      <c r="F883" t="s">
        <v>148</v>
      </c>
      <c r="G883">
        <v>3555.88</v>
      </c>
      <c r="H883">
        <v>10</v>
      </c>
      <c r="I883">
        <v>827.64</v>
      </c>
    </row>
    <row r="884" spans="1:9" x14ac:dyDescent="0.3">
      <c r="A884" t="s">
        <v>1107</v>
      </c>
      <c r="B884" s="1">
        <v>46001</v>
      </c>
      <c r="C884" t="s">
        <v>10</v>
      </c>
      <c r="D884" t="s">
        <v>11</v>
      </c>
      <c r="E884" t="s">
        <v>12</v>
      </c>
      <c r="F884" t="s">
        <v>129</v>
      </c>
      <c r="G884">
        <v>4720.8999999999996</v>
      </c>
      <c r="H884">
        <v>4</v>
      </c>
      <c r="I884">
        <v>1265.42</v>
      </c>
    </row>
    <row r="885" spans="1:9" x14ac:dyDescent="0.3">
      <c r="A885" t="s">
        <v>1108</v>
      </c>
      <c r="B885" s="1">
        <v>45340</v>
      </c>
      <c r="C885" t="s">
        <v>25</v>
      </c>
      <c r="D885" t="s">
        <v>21</v>
      </c>
      <c r="E885" t="s">
        <v>22</v>
      </c>
      <c r="F885" t="s">
        <v>552</v>
      </c>
      <c r="G885">
        <v>3062.21</v>
      </c>
      <c r="H885">
        <v>1</v>
      </c>
      <c r="I885">
        <v>162.18</v>
      </c>
    </row>
    <row r="886" spans="1:9" x14ac:dyDescent="0.3">
      <c r="A886" t="s">
        <v>1109</v>
      </c>
      <c r="B886" s="1">
        <v>45711</v>
      </c>
      <c r="C886" t="s">
        <v>10</v>
      </c>
      <c r="D886" t="s">
        <v>11</v>
      </c>
      <c r="E886" t="s">
        <v>18</v>
      </c>
      <c r="F886" t="s">
        <v>694</v>
      </c>
      <c r="G886">
        <v>3217.43</v>
      </c>
      <c r="H886">
        <v>6</v>
      </c>
      <c r="I886">
        <v>105.81</v>
      </c>
    </row>
    <row r="887" spans="1:9" x14ac:dyDescent="0.3">
      <c r="A887" t="s">
        <v>1110</v>
      </c>
      <c r="B887" s="1">
        <v>45332</v>
      </c>
      <c r="C887" t="s">
        <v>17</v>
      </c>
      <c r="D887" t="s">
        <v>21</v>
      </c>
      <c r="E887" t="s">
        <v>29</v>
      </c>
      <c r="F887" t="s">
        <v>242</v>
      </c>
      <c r="G887">
        <v>3400.96</v>
      </c>
      <c r="H887">
        <v>4</v>
      </c>
      <c r="I887">
        <v>957.19</v>
      </c>
    </row>
    <row r="888" spans="1:9" x14ac:dyDescent="0.3">
      <c r="A888" t="s">
        <v>1111</v>
      </c>
      <c r="B888" s="1">
        <v>45944</v>
      </c>
      <c r="C888" t="s">
        <v>17</v>
      </c>
      <c r="D888" t="s">
        <v>32</v>
      </c>
      <c r="E888" t="s">
        <v>39</v>
      </c>
      <c r="F888" t="s">
        <v>343</v>
      </c>
      <c r="G888">
        <v>3018.06</v>
      </c>
      <c r="H888">
        <v>7</v>
      </c>
      <c r="I888">
        <v>-159.55000000000001</v>
      </c>
    </row>
    <row r="889" spans="1:9" x14ac:dyDescent="0.3">
      <c r="A889" t="s">
        <v>1112</v>
      </c>
      <c r="B889" s="1">
        <v>45477</v>
      </c>
      <c r="C889" t="s">
        <v>25</v>
      </c>
      <c r="D889" t="s">
        <v>32</v>
      </c>
      <c r="E889" t="s">
        <v>73</v>
      </c>
      <c r="F889" t="s">
        <v>239</v>
      </c>
      <c r="G889">
        <v>3409.23</v>
      </c>
      <c r="H889">
        <v>7</v>
      </c>
      <c r="I889">
        <v>-94.18</v>
      </c>
    </row>
    <row r="890" spans="1:9" x14ac:dyDescent="0.3">
      <c r="A890" t="s">
        <v>1113</v>
      </c>
      <c r="B890" s="1">
        <v>45887</v>
      </c>
      <c r="C890" t="s">
        <v>25</v>
      </c>
      <c r="D890" t="s">
        <v>21</v>
      </c>
      <c r="E890" t="s">
        <v>22</v>
      </c>
      <c r="F890" t="s">
        <v>999</v>
      </c>
      <c r="G890">
        <v>206.17</v>
      </c>
      <c r="H890">
        <v>7</v>
      </c>
      <c r="I890">
        <v>40.11</v>
      </c>
    </row>
    <row r="891" spans="1:9" x14ac:dyDescent="0.3">
      <c r="A891" t="s">
        <v>1114</v>
      </c>
      <c r="B891" s="1">
        <v>45430</v>
      </c>
      <c r="C891" t="s">
        <v>10</v>
      </c>
      <c r="D891" t="s">
        <v>32</v>
      </c>
      <c r="E891" t="s">
        <v>73</v>
      </c>
      <c r="F891" t="s">
        <v>279</v>
      </c>
      <c r="G891">
        <v>3651.91</v>
      </c>
      <c r="H891">
        <v>2</v>
      </c>
      <c r="I891">
        <v>738.63</v>
      </c>
    </row>
    <row r="892" spans="1:9" x14ac:dyDescent="0.3">
      <c r="A892" t="s">
        <v>1115</v>
      </c>
      <c r="B892" s="1">
        <v>45332</v>
      </c>
      <c r="C892" t="s">
        <v>28</v>
      </c>
      <c r="D892" t="s">
        <v>21</v>
      </c>
      <c r="E892" t="s">
        <v>29</v>
      </c>
      <c r="F892" t="s">
        <v>19</v>
      </c>
      <c r="G892">
        <v>159.97999999999999</v>
      </c>
      <c r="H892">
        <v>8</v>
      </c>
      <c r="I892">
        <v>23.9</v>
      </c>
    </row>
    <row r="893" spans="1:9" x14ac:dyDescent="0.3">
      <c r="A893" t="s">
        <v>1116</v>
      </c>
      <c r="B893" s="1">
        <v>45373</v>
      </c>
      <c r="C893" t="s">
        <v>17</v>
      </c>
      <c r="D893" t="s">
        <v>11</v>
      </c>
      <c r="E893" t="s">
        <v>48</v>
      </c>
      <c r="F893" t="s">
        <v>370</v>
      </c>
      <c r="G893">
        <v>3407.49</v>
      </c>
      <c r="H893">
        <v>4</v>
      </c>
      <c r="I893">
        <v>142.97</v>
      </c>
    </row>
    <row r="894" spans="1:9" x14ac:dyDescent="0.3">
      <c r="A894" t="s">
        <v>1117</v>
      </c>
      <c r="B894" s="1">
        <v>45913</v>
      </c>
      <c r="C894" t="s">
        <v>28</v>
      </c>
      <c r="D894" t="s">
        <v>21</v>
      </c>
      <c r="E894" t="s">
        <v>36</v>
      </c>
      <c r="F894" t="s">
        <v>999</v>
      </c>
      <c r="G894">
        <v>2186.88</v>
      </c>
      <c r="H894">
        <v>9</v>
      </c>
      <c r="I894">
        <v>-129.88999999999999</v>
      </c>
    </row>
    <row r="895" spans="1:9" x14ac:dyDescent="0.3">
      <c r="A895" t="s">
        <v>1118</v>
      </c>
      <c r="B895" s="1">
        <v>45915</v>
      </c>
      <c r="C895" t="s">
        <v>25</v>
      </c>
      <c r="D895" t="s">
        <v>32</v>
      </c>
      <c r="E895" t="s">
        <v>33</v>
      </c>
      <c r="F895" t="s">
        <v>721</v>
      </c>
      <c r="G895">
        <v>802.01</v>
      </c>
      <c r="H895">
        <v>3</v>
      </c>
      <c r="I895">
        <v>169.58</v>
      </c>
    </row>
    <row r="896" spans="1:9" x14ac:dyDescent="0.3">
      <c r="A896" t="s">
        <v>1119</v>
      </c>
      <c r="B896" s="1">
        <v>45470</v>
      </c>
      <c r="C896" t="s">
        <v>28</v>
      </c>
      <c r="D896" t="s">
        <v>11</v>
      </c>
      <c r="E896" t="s">
        <v>12</v>
      </c>
      <c r="F896" t="s">
        <v>232</v>
      </c>
      <c r="G896">
        <v>819.39</v>
      </c>
      <c r="H896">
        <v>10</v>
      </c>
      <c r="I896">
        <v>44.2</v>
      </c>
    </row>
    <row r="897" spans="1:9" x14ac:dyDescent="0.3">
      <c r="A897" t="s">
        <v>1120</v>
      </c>
      <c r="B897" s="1">
        <v>45410</v>
      </c>
      <c r="C897" t="s">
        <v>25</v>
      </c>
      <c r="D897" t="s">
        <v>32</v>
      </c>
      <c r="E897" t="s">
        <v>39</v>
      </c>
      <c r="F897" t="s">
        <v>105</v>
      </c>
      <c r="G897">
        <v>4532.07</v>
      </c>
      <c r="H897">
        <v>4</v>
      </c>
      <c r="I897">
        <v>608.77</v>
      </c>
    </row>
    <row r="898" spans="1:9" x14ac:dyDescent="0.3">
      <c r="A898" t="s">
        <v>1121</v>
      </c>
      <c r="B898" s="1">
        <v>45677</v>
      </c>
      <c r="C898" t="s">
        <v>17</v>
      </c>
      <c r="D898" t="s">
        <v>11</v>
      </c>
      <c r="E898" t="s">
        <v>18</v>
      </c>
      <c r="F898" t="s">
        <v>688</v>
      </c>
      <c r="G898">
        <v>983.38</v>
      </c>
      <c r="H898">
        <v>8</v>
      </c>
      <c r="I898">
        <v>277.70999999999998</v>
      </c>
    </row>
    <row r="899" spans="1:9" x14ac:dyDescent="0.3">
      <c r="A899" t="s">
        <v>1122</v>
      </c>
      <c r="B899" s="1">
        <v>45919</v>
      </c>
      <c r="C899" t="s">
        <v>10</v>
      </c>
      <c r="D899" t="s">
        <v>32</v>
      </c>
      <c r="E899" t="s">
        <v>73</v>
      </c>
      <c r="F899" t="s">
        <v>68</v>
      </c>
      <c r="G899">
        <v>383.25</v>
      </c>
      <c r="H899">
        <v>7</v>
      </c>
      <c r="I899">
        <v>32.67</v>
      </c>
    </row>
    <row r="900" spans="1:9" x14ac:dyDescent="0.3">
      <c r="A900" t="s">
        <v>1123</v>
      </c>
      <c r="B900" s="1">
        <v>45825</v>
      </c>
      <c r="C900" t="s">
        <v>10</v>
      </c>
      <c r="D900" t="s">
        <v>32</v>
      </c>
      <c r="E900" t="s">
        <v>33</v>
      </c>
      <c r="F900" t="s">
        <v>587</v>
      </c>
      <c r="G900">
        <v>3591.53</v>
      </c>
      <c r="H900">
        <v>2</v>
      </c>
      <c r="I900">
        <v>623.69000000000005</v>
      </c>
    </row>
    <row r="901" spans="1:9" x14ac:dyDescent="0.3">
      <c r="A901" t="s">
        <v>1124</v>
      </c>
      <c r="B901" s="1">
        <v>45296</v>
      </c>
      <c r="C901" t="s">
        <v>10</v>
      </c>
      <c r="D901" t="s">
        <v>21</v>
      </c>
      <c r="E901" t="s">
        <v>29</v>
      </c>
      <c r="F901" t="s">
        <v>97</v>
      </c>
      <c r="G901">
        <v>1877.94</v>
      </c>
      <c r="H901">
        <v>5</v>
      </c>
      <c r="I901">
        <v>456.05</v>
      </c>
    </row>
    <row r="902" spans="1:9" x14ac:dyDescent="0.3">
      <c r="A902" t="s">
        <v>1125</v>
      </c>
      <c r="B902" s="1">
        <v>45992</v>
      </c>
      <c r="C902" t="s">
        <v>28</v>
      </c>
      <c r="D902" t="s">
        <v>21</v>
      </c>
      <c r="E902" t="s">
        <v>29</v>
      </c>
      <c r="F902" t="s">
        <v>204</v>
      </c>
      <c r="G902">
        <v>508.27</v>
      </c>
      <c r="H902">
        <v>6</v>
      </c>
      <c r="I902">
        <v>138.63999999999999</v>
      </c>
    </row>
    <row r="903" spans="1:9" x14ac:dyDescent="0.3">
      <c r="A903" t="s">
        <v>1126</v>
      </c>
      <c r="B903" s="1">
        <v>45857</v>
      </c>
      <c r="C903" t="s">
        <v>10</v>
      </c>
      <c r="D903" t="s">
        <v>32</v>
      </c>
      <c r="E903" t="s">
        <v>73</v>
      </c>
      <c r="F903" t="s">
        <v>95</v>
      </c>
      <c r="G903">
        <v>270.91000000000003</v>
      </c>
      <c r="H903">
        <v>6</v>
      </c>
      <c r="I903">
        <v>80.150000000000006</v>
      </c>
    </row>
    <row r="904" spans="1:9" x14ac:dyDescent="0.3">
      <c r="A904" t="s">
        <v>1127</v>
      </c>
      <c r="B904" s="1">
        <v>45660</v>
      </c>
      <c r="C904" t="s">
        <v>10</v>
      </c>
      <c r="D904" t="s">
        <v>32</v>
      </c>
      <c r="E904" t="s">
        <v>73</v>
      </c>
      <c r="F904" t="s">
        <v>294</v>
      </c>
      <c r="G904">
        <v>3906.03</v>
      </c>
      <c r="H904">
        <v>3</v>
      </c>
      <c r="I904">
        <v>62.53</v>
      </c>
    </row>
    <row r="905" spans="1:9" x14ac:dyDescent="0.3">
      <c r="A905" t="s">
        <v>1128</v>
      </c>
      <c r="B905" s="1">
        <v>45379</v>
      </c>
      <c r="C905" t="s">
        <v>25</v>
      </c>
      <c r="D905" t="s">
        <v>11</v>
      </c>
      <c r="E905" t="s">
        <v>48</v>
      </c>
      <c r="F905" t="s">
        <v>195</v>
      </c>
      <c r="G905">
        <v>4363.0600000000004</v>
      </c>
      <c r="H905">
        <v>4</v>
      </c>
      <c r="I905">
        <v>1075.27</v>
      </c>
    </row>
    <row r="906" spans="1:9" x14ac:dyDescent="0.3">
      <c r="A906" t="s">
        <v>1129</v>
      </c>
      <c r="B906" s="1">
        <v>45798</v>
      </c>
      <c r="C906" t="s">
        <v>17</v>
      </c>
      <c r="D906" t="s">
        <v>21</v>
      </c>
      <c r="E906" t="s">
        <v>36</v>
      </c>
      <c r="F906" t="s">
        <v>176</v>
      </c>
      <c r="G906">
        <v>3392.63</v>
      </c>
      <c r="H906">
        <v>9</v>
      </c>
      <c r="I906">
        <v>956.32</v>
      </c>
    </row>
    <row r="907" spans="1:9" x14ac:dyDescent="0.3">
      <c r="A907" t="s">
        <v>1130</v>
      </c>
      <c r="B907" s="1">
        <v>45472</v>
      </c>
      <c r="C907" t="s">
        <v>28</v>
      </c>
      <c r="D907" t="s">
        <v>21</v>
      </c>
      <c r="E907" t="s">
        <v>36</v>
      </c>
      <c r="F907" t="s">
        <v>772</v>
      </c>
      <c r="G907">
        <v>4449.97</v>
      </c>
      <c r="H907">
        <v>1</v>
      </c>
      <c r="I907">
        <v>735.11</v>
      </c>
    </row>
    <row r="908" spans="1:9" x14ac:dyDescent="0.3">
      <c r="A908" t="s">
        <v>1131</v>
      </c>
      <c r="B908" s="1">
        <v>45742</v>
      </c>
      <c r="C908" t="s">
        <v>10</v>
      </c>
      <c r="D908" t="s">
        <v>11</v>
      </c>
      <c r="E908" t="s">
        <v>48</v>
      </c>
      <c r="F908" t="s">
        <v>80</v>
      </c>
      <c r="G908">
        <v>2636.02</v>
      </c>
      <c r="H908">
        <v>8</v>
      </c>
      <c r="I908">
        <v>572.45000000000005</v>
      </c>
    </row>
    <row r="909" spans="1:9" x14ac:dyDescent="0.3">
      <c r="A909" t="s">
        <v>1132</v>
      </c>
      <c r="B909" s="1">
        <v>45939</v>
      </c>
      <c r="C909" t="s">
        <v>25</v>
      </c>
      <c r="D909" t="s">
        <v>21</v>
      </c>
      <c r="E909" t="s">
        <v>22</v>
      </c>
      <c r="F909" t="s">
        <v>146</v>
      </c>
      <c r="G909">
        <v>3835.89</v>
      </c>
      <c r="H909">
        <v>1</v>
      </c>
      <c r="I909">
        <v>863.74</v>
      </c>
    </row>
    <row r="910" spans="1:9" x14ac:dyDescent="0.3">
      <c r="A910" t="s">
        <v>1133</v>
      </c>
      <c r="B910" s="1">
        <v>45785</v>
      </c>
      <c r="C910" t="s">
        <v>10</v>
      </c>
      <c r="D910" t="s">
        <v>11</v>
      </c>
      <c r="E910" t="s">
        <v>48</v>
      </c>
      <c r="F910" t="s">
        <v>320</v>
      </c>
      <c r="G910">
        <v>96.94</v>
      </c>
      <c r="H910">
        <v>9</v>
      </c>
      <c r="I910">
        <v>25.56</v>
      </c>
    </row>
    <row r="911" spans="1:9" x14ac:dyDescent="0.3">
      <c r="A911" t="s">
        <v>1134</v>
      </c>
      <c r="B911" s="1">
        <v>45645</v>
      </c>
      <c r="C911" t="s">
        <v>28</v>
      </c>
      <c r="D911" t="s">
        <v>11</v>
      </c>
      <c r="E911" t="s">
        <v>18</v>
      </c>
      <c r="F911" t="s">
        <v>263</v>
      </c>
      <c r="G911">
        <v>196.75</v>
      </c>
      <c r="H911">
        <v>4</v>
      </c>
      <c r="I911">
        <v>-10.28</v>
      </c>
    </row>
    <row r="912" spans="1:9" x14ac:dyDescent="0.3">
      <c r="A912" t="s">
        <v>1135</v>
      </c>
      <c r="B912" s="1">
        <v>45611</v>
      </c>
      <c r="C912" t="s">
        <v>17</v>
      </c>
      <c r="D912" t="s">
        <v>32</v>
      </c>
      <c r="E912" t="s">
        <v>39</v>
      </c>
      <c r="F912" t="s">
        <v>541</v>
      </c>
      <c r="G912">
        <v>1804.19</v>
      </c>
      <c r="H912">
        <v>6</v>
      </c>
      <c r="I912">
        <v>488.72</v>
      </c>
    </row>
    <row r="913" spans="1:9" x14ac:dyDescent="0.3">
      <c r="A913" t="s">
        <v>1136</v>
      </c>
      <c r="B913" s="1">
        <v>45502</v>
      </c>
      <c r="C913" t="s">
        <v>25</v>
      </c>
      <c r="D913" t="s">
        <v>32</v>
      </c>
      <c r="E913" t="s">
        <v>73</v>
      </c>
      <c r="F913" t="s">
        <v>412</v>
      </c>
      <c r="G913">
        <v>4411.46</v>
      </c>
      <c r="H913">
        <v>7</v>
      </c>
      <c r="I913">
        <v>212.5</v>
      </c>
    </row>
    <row r="914" spans="1:9" x14ac:dyDescent="0.3">
      <c r="A914" t="s">
        <v>1137</v>
      </c>
      <c r="B914" s="1">
        <v>45298</v>
      </c>
      <c r="C914" t="s">
        <v>17</v>
      </c>
      <c r="D914" t="s">
        <v>21</v>
      </c>
      <c r="E914" t="s">
        <v>36</v>
      </c>
      <c r="F914" t="s">
        <v>213</v>
      </c>
      <c r="G914">
        <v>2592.4699999999998</v>
      </c>
      <c r="H914">
        <v>8</v>
      </c>
      <c r="I914">
        <v>582.86</v>
      </c>
    </row>
    <row r="915" spans="1:9" x14ac:dyDescent="0.3">
      <c r="A915" t="s">
        <v>1138</v>
      </c>
      <c r="B915" s="1">
        <v>45909</v>
      </c>
      <c r="C915" t="s">
        <v>25</v>
      </c>
      <c r="D915" t="s">
        <v>32</v>
      </c>
      <c r="E915" t="s">
        <v>39</v>
      </c>
      <c r="F915" t="s">
        <v>148</v>
      </c>
      <c r="G915">
        <v>3585.88</v>
      </c>
      <c r="H915">
        <v>10</v>
      </c>
      <c r="I915">
        <v>916.8</v>
      </c>
    </row>
    <row r="916" spans="1:9" x14ac:dyDescent="0.3">
      <c r="A916" t="s">
        <v>1139</v>
      </c>
      <c r="B916" s="1">
        <v>45977</v>
      </c>
      <c r="C916" t="s">
        <v>17</v>
      </c>
      <c r="D916" t="s">
        <v>32</v>
      </c>
      <c r="E916" t="s">
        <v>73</v>
      </c>
      <c r="F916" t="s">
        <v>279</v>
      </c>
      <c r="G916">
        <v>537.98</v>
      </c>
      <c r="H916">
        <v>3</v>
      </c>
      <c r="I916">
        <v>151.13999999999999</v>
      </c>
    </row>
    <row r="917" spans="1:9" x14ac:dyDescent="0.3">
      <c r="A917" t="s">
        <v>1140</v>
      </c>
      <c r="B917" s="1">
        <v>45995</v>
      </c>
      <c r="C917" t="s">
        <v>28</v>
      </c>
      <c r="D917" t="s">
        <v>11</v>
      </c>
      <c r="E917" t="s">
        <v>48</v>
      </c>
      <c r="F917" t="s">
        <v>836</v>
      </c>
      <c r="G917">
        <v>3938.21</v>
      </c>
      <c r="H917">
        <v>2</v>
      </c>
      <c r="I917">
        <v>702.88</v>
      </c>
    </row>
    <row r="918" spans="1:9" x14ac:dyDescent="0.3">
      <c r="A918" t="s">
        <v>1141</v>
      </c>
      <c r="B918" s="1">
        <v>45693</v>
      </c>
      <c r="C918" t="s">
        <v>25</v>
      </c>
      <c r="D918" t="s">
        <v>21</v>
      </c>
      <c r="E918" t="s">
        <v>29</v>
      </c>
      <c r="F918" t="s">
        <v>372</v>
      </c>
      <c r="G918">
        <v>4022.83</v>
      </c>
      <c r="H918">
        <v>9</v>
      </c>
      <c r="I918">
        <v>1177.83</v>
      </c>
    </row>
    <row r="919" spans="1:9" x14ac:dyDescent="0.3">
      <c r="A919" t="s">
        <v>1142</v>
      </c>
      <c r="B919" s="1">
        <v>45981</v>
      </c>
      <c r="C919" t="s">
        <v>17</v>
      </c>
      <c r="D919" t="s">
        <v>21</v>
      </c>
      <c r="E919" t="s">
        <v>29</v>
      </c>
      <c r="F919" t="s">
        <v>244</v>
      </c>
      <c r="G919">
        <v>3635.95</v>
      </c>
      <c r="H919">
        <v>8</v>
      </c>
      <c r="I919">
        <v>630.22</v>
      </c>
    </row>
    <row r="920" spans="1:9" x14ac:dyDescent="0.3">
      <c r="A920" t="s">
        <v>1143</v>
      </c>
      <c r="B920" s="1">
        <v>45500</v>
      </c>
      <c r="C920" t="s">
        <v>10</v>
      </c>
      <c r="D920" t="s">
        <v>32</v>
      </c>
      <c r="E920" t="s">
        <v>33</v>
      </c>
      <c r="F920" t="s">
        <v>497</v>
      </c>
      <c r="G920">
        <v>975.62</v>
      </c>
      <c r="H920">
        <v>10</v>
      </c>
      <c r="I920">
        <v>12.39</v>
      </c>
    </row>
    <row r="921" spans="1:9" x14ac:dyDescent="0.3">
      <c r="A921" t="s">
        <v>1144</v>
      </c>
      <c r="B921" s="1">
        <v>45717</v>
      </c>
      <c r="C921" t="s">
        <v>10</v>
      </c>
      <c r="D921" t="s">
        <v>11</v>
      </c>
      <c r="E921" t="s">
        <v>12</v>
      </c>
      <c r="F921" t="s">
        <v>26</v>
      </c>
      <c r="G921">
        <v>2604.9699999999998</v>
      </c>
      <c r="H921">
        <v>8</v>
      </c>
      <c r="I921">
        <v>288.47000000000003</v>
      </c>
    </row>
    <row r="922" spans="1:9" x14ac:dyDescent="0.3">
      <c r="A922" t="s">
        <v>1145</v>
      </c>
      <c r="B922" s="1">
        <v>45651</v>
      </c>
      <c r="C922" t="s">
        <v>10</v>
      </c>
      <c r="D922" t="s">
        <v>32</v>
      </c>
      <c r="E922" t="s">
        <v>33</v>
      </c>
      <c r="F922" t="s">
        <v>578</v>
      </c>
      <c r="G922">
        <v>2946.66</v>
      </c>
      <c r="H922">
        <v>5</v>
      </c>
      <c r="I922">
        <v>273.81</v>
      </c>
    </row>
    <row r="923" spans="1:9" x14ac:dyDescent="0.3">
      <c r="A923" t="s">
        <v>1146</v>
      </c>
      <c r="B923" s="1">
        <v>45898</v>
      </c>
      <c r="C923" t="s">
        <v>10</v>
      </c>
      <c r="D923" t="s">
        <v>11</v>
      </c>
      <c r="E923" t="s">
        <v>12</v>
      </c>
      <c r="F923" t="s">
        <v>459</v>
      </c>
      <c r="G923">
        <v>1813.51</v>
      </c>
      <c r="H923">
        <v>4</v>
      </c>
      <c r="I923">
        <v>288.5</v>
      </c>
    </row>
    <row r="924" spans="1:9" x14ac:dyDescent="0.3">
      <c r="A924" t="s">
        <v>1147</v>
      </c>
      <c r="B924" s="1">
        <v>45996</v>
      </c>
      <c r="C924" t="s">
        <v>28</v>
      </c>
      <c r="D924" t="s">
        <v>21</v>
      </c>
      <c r="E924" t="s">
        <v>22</v>
      </c>
      <c r="F924" t="s">
        <v>135</v>
      </c>
      <c r="G924">
        <v>3323.5</v>
      </c>
      <c r="H924">
        <v>1</v>
      </c>
      <c r="I924">
        <v>-179.56</v>
      </c>
    </row>
    <row r="925" spans="1:9" x14ac:dyDescent="0.3">
      <c r="A925" t="s">
        <v>1148</v>
      </c>
      <c r="B925" s="1">
        <v>45621</v>
      </c>
      <c r="C925" t="s">
        <v>25</v>
      </c>
      <c r="D925" t="s">
        <v>11</v>
      </c>
      <c r="E925" t="s">
        <v>18</v>
      </c>
      <c r="F925" t="s">
        <v>244</v>
      </c>
      <c r="G925">
        <v>2200.1999999999998</v>
      </c>
      <c r="H925">
        <v>6</v>
      </c>
      <c r="I925">
        <v>-14.04</v>
      </c>
    </row>
    <row r="926" spans="1:9" x14ac:dyDescent="0.3">
      <c r="A926" t="s">
        <v>1149</v>
      </c>
      <c r="B926" s="1">
        <v>45912</v>
      </c>
      <c r="C926" t="s">
        <v>25</v>
      </c>
      <c r="D926" t="s">
        <v>11</v>
      </c>
      <c r="E926" t="s">
        <v>18</v>
      </c>
      <c r="F926" t="s">
        <v>105</v>
      </c>
      <c r="G926">
        <v>3277.16</v>
      </c>
      <c r="H926">
        <v>1</v>
      </c>
      <c r="I926">
        <v>711.29</v>
      </c>
    </row>
    <row r="927" spans="1:9" x14ac:dyDescent="0.3">
      <c r="A927" t="s">
        <v>1150</v>
      </c>
      <c r="B927" s="1">
        <v>45852</v>
      </c>
      <c r="C927" t="s">
        <v>28</v>
      </c>
      <c r="D927" t="s">
        <v>32</v>
      </c>
      <c r="E927" t="s">
        <v>33</v>
      </c>
      <c r="F927" t="s">
        <v>368</v>
      </c>
      <c r="G927">
        <v>1058.82</v>
      </c>
      <c r="H927">
        <v>9</v>
      </c>
      <c r="I927">
        <v>223.78</v>
      </c>
    </row>
    <row r="928" spans="1:9" x14ac:dyDescent="0.3">
      <c r="A928" t="s">
        <v>1151</v>
      </c>
      <c r="B928" s="1">
        <v>45433</v>
      </c>
      <c r="C928" t="s">
        <v>10</v>
      </c>
      <c r="D928" t="s">
        <v>11</v>
      </c>
      <c r="E928" t="s">
        <v>18</v>
      </c>
      <c r="F928" t="s">
        <v>93</v>
      </c>
      <c r="G928">
        <v>3851.76</v>
      </c>
      <c r="H928">
        <v>6</v>
      </c>
      <c r="I928">
        <v>-243.25</v>
      </c>
    </row>
    <row r="929" spans="1:9" x14ac:dyDescent="0.3">
      <c r="A929" t="s">
        <v>1152</v>
      </c>
      <c r="B929" s="1">
        <v>45829</v>
      </c>
      <c r="C929" t="s">
        <v>10</v>
      </c>
      <c r="D929" t="s">
        <v>11</v>
      </c>
      <c r="E929" t="s">
        <v>12</v>
      </c>
      <c r="F929" t="s">
        <v>23</v>
      </c>
      <c r="G929">
        <v>3132.71</v>
      </c>
      <c r="H929">
        <v>3</v>
      </c>
      <c r="I929">
        <v>224.51</v>
      </c>
    </row>
    <row r="930" spans="1:9" x14ac:dyDescent="0.3">
      <c r="A930" t="s">
        <v>1153</v>
      </c>
      <c r="B930" s="1">
        <v>45673</v>
      </c>
      <c r="C930" t="s">
        <v>25</v>
      </c>
      <c r="D930" t="s">
        <v>32</v>
      </c>
      <c r="E930" t="s">
        <v>73</v>
      </c>
      <c r="F930" t="s">
        <v>562</v>
      </c>
      <c r="G930">
        <v>854.59</v>
      </c>
      <c r="H930">
        <v>1</v>
      </c>
      <c r="I930">
        <v>-36.54</v>
      </c>
    </row>
    <row r="931" spans="1:9" x14ac:dyDescent="0.3">
      <c r="A931" t="s">
        <v>1154</v>
      </c>
      <c r="B931" s="1">
        <v>46011</v>
      </c>
      <c r="C931" t="s">
        <v>17</v>
      </c>
      <c r="D931" t="s">
        <v>32</v>
      </c>
      <c r="E931" t="s">
        <v>39</v>
      </c>
      <c r="F931" t="s">
        <v>523</v>
      </c>
      <c r="G931">
        <v>1584.39</v>
      </c>
      <c r="H931">
        <v>8</v>
      </c>
      <c r="I931">
        <v>180.91</v>
      </c>
    </row>
    <row r="932" spans="1:9" x14ac:dyDescent="0.3">
      <c r="A932" t="s">
        <v>1155</v>
      </c>
      <c r="B932" s="1">
        <v>45778</v>
      </c>
      <c r="C932" t="s">
        <v>28</v>
      </c>
      <c r="D932" t="s">
        <v>32</v>
      </c>
      <c r="E932" t="s">
        <v>39</v>
      </c>
      <c r="F932" t="s">
        <v>569</v>
      </c>
      <c r="G932">
        <v>3340.03</v>
      </c>
      <c r="H932">
        <v>7</v>
      </c>
      <c r="I932">
        <v>666.06</v>
      </c>
    </row>
    <row r="933" spans="1:9" x14ac:dyDescent="0.3">
      <c r="A933" t="s">
        <v>1156</v>
      </c>
      <c r="B933" s="1">
        <v>45545</v>
      </c>
      <c r="C933" t="s">
        <v>17</v>
      </c>
      <c r="D933" t="s">
        <v>11</v>
      </c>
      <c r="E933" t="s">
        <v>48</v>
      </c>
      <c r="F933" t="s">
        <v>103</v>
      </c>
      <c r="G933">
        <v>4609.8100000000004</v>
      </c>
      <c r="H933">
        <v>7</v>
      </c>
      <c r="I933">
        <v>83.54</v>
      </c>
    </row>
    <row r="934" spans="1:9" x14ac:dyDescent="0.3">
      <c r="A934" t="s">
        <v>1157</v>
      </c>
      <c r="B934" s="1">
        <v>45774</v>
      </c>
      <c r="C934" t="s">
        <v>28</v>
      </c>
      <c r="D934" t="s">
        <v>32</v>
      </c>
      <c r="E934" t="s">
        <v>73</v>
      </c>
      <c r="F934" t="s">
        <v>55</v>
      </c>
      <c r="G934">
        <v>2235.34</v>
      </c>
      <c r="H934">
        <v>8</v>
      </c>
      <c r="I934">
        <v>662.37</v>
      </c>
    </row>
    <row r="935" spans="1:9" x14ac:dyDescent="0.3">
      <c r="A935" t="s">
        <v>1158</v>
      </c>
      <c r="B935" s="1">
        <v>46017</v>
      </c>
      <c r="C935" t="s">
        <v>10</v>
      </c>
      <c r="D935" t="s">
        <v>21</v>
      </c>
      <c r="E935" t="s">
        <v>22</v>
      </c>
      <c r="F935" t="s">
        <v>88</v>
      </c>
      <c r="G935">
        <v>3660.36</v>
      </c>
      <c r="H935">
        <v>2</v>
      </c>
      <c r="I935">
        <v>471.21</v>
      </c>
    </row>
    <row r="936" spans="1:9" x14ac:dyDescent="0.3">
      <c r="A936" t="s">
        <v>1159</v>
      </c>
      <c r="B936" s="1">
        <v>45459</v>
      </c>
      <c r="C936" t="s">
        <v>25</v>
      </c>
      <c r="D936" t="s">
        <v>21</v>
      </c>
      <c r="E936" t="s">
        <v>36</v>
      </c>
      <c r="F936" t="s">
        <v>13</v>
      </c>
      <c r="G936">
        <v>3993.86</v>
      </c>
      <c r="H936">
        <v>8</v>
      </c>
      <c r="I936">
        <v>-195.21</v>
      </c>
    </row>
    <row r="937" spans="1:9" x14ac:dyDescent="0.3">
      <c r="A937" t="s">
        <v>1160</v>
      </c>
      <c r="B937" s="1">
        <v>45590</v>
      </c>
      <c r="C937" t="s">
        <v>28</v>
      </c>
      <c r="D937" t="s">
        <v>21</v>
      </c>
      <c r="E937" t="s">
        <v>29</v>
      </c>
      <c r="F937" t="s">
        <v>368</v>
      </c>
      <c r="G937">
        <v>1870.01</v>
      </c>
      <c r="H937">
        <v>1</v>
      </c>
      <c r="I937">
        <v>329.43</v>
      </c>
    </row>
    <row r="938" spans="1:9" x14ac:dyDescent="0.3">
      <c r="A938" t="s">
        <v>1161</v>
      </c>
      <c r="B938" s="1">
        <v>45600</v>
      </c>
      <c r="C938" t="s">
        <v>28</v>
      </c>
      <c r="D938" t="s">
        <v>21</v>
      </c>
      <c r="E938" t="s">
        <v>36</v>
      </c>
      <c r="F938" t="s">
        <v>166</v>
      </c>
      <c r="G938">
        <v>2372.79</v>
      </c>
      <c r="H938">
        <v>7</v>
      </c>
      <c r="I938">
        <v>-151.43</v>
      </c>
    </row>
    <row r="939" spans="1:9" x14ac:dyDescent="0.3">
      <c r="A939" t="s">
        <v>1162</v>
      </c>
      <c r="B939" s="1">
        <v>45987</v>
      </c>
      <c r="C939" t="s">
        <v>25</v>
      </c>
      <c r="D939" t="s">
        <v>32</v>
      </c>
      <c r="E939" t="s">
        <v>33</v>
      </c>
      <c r="F939" t="s">
        <v>643</v>
      </c>
      <c r="G939">
        <v>2821.28</v>
      </c>
      <c r="H939">
        <v>10</v>
      </c>
      <c r="I939">
        <v>-195.67</v>
      </c>
    </row>
    <row r="940" spans="1:9" x14ac:dyDescent="0.3">
      <c r="A940" t="s">
        <v>1163</v>
      </c>
      <c r="B940" s="1">
        <v>45457</v>
      </c>
      <c r="C940" t="s">
        <v>28</v>
      </c>
      <c r="D940" t="s">
        <v>32</v>
      </c>
      <c r="E940" t="s">
        <v>33</v>
      </c>
      <c r="F940" t="s">
        <v>229</v>
      </c>
      <c r="G940">
        <v>4727.18</v>
      </c>
      <c r="H940">
        <v>4</v>
      </c>
      <c r="I940">
        <v>-358.66</v>
      </c>
    </row>
    <row r="941" spans="1:9" x14ac:dyDescent="0.3">
      <c r="A941" t="s">
        <v>1164</v>
      </c>
      <c r="B941" s="1">
        <v>45911</v>
      </c>
      <c r="C941" t="s">
        <v>10</v>
      </c>
      <c r="D941" t="s">
        <v>11</v>
      </c>
      <c r="E941" t="s">
        <v>12</v>
      </c>
      <c r="F941" t="s">
        <v>337</v>
      </c>
      <c r="G941">
        <v>3621.99</v>
      </c>
      <c r="H941">
        <v>1</v>
      </c>
      <c r="I941">
        <v>196.88</v>
      </c>
    </row>
    <row r="942" spans="1:9" x14ac:dyDescent="0.3">
      <c r="A942" t="s">
        <v>1165</v>
      </c>
      <c r="B942" s="1">
        <v>45904</v>
      </c>
      <c r="C942" t="s">
        <v>28</v>
      </c>
      <c r="D942" t="s">
        <v>21</v>
      </c>
      <c r="E942" t="s">
        <v>22</v>
      </c>
      <c r="F942" t="s">
        <v>424</v>
      </c>
      <c r="G942">
        <v>2725.36</v>
      </c>
      <c r="H942">
        <v>9</v>
      </c>
      <c r="I942">
        <v>571.88</v>
      </c>
    </row>
    <row r="943" spans="1:9" x14ac:dyDescent="0.3">
      <c r="A943" t="s">
        <v>1166</v>
      </c>
      <c r="B943" s="1">
        <v>45640</v>
      </c>
      <c r="C943" t="s">
        <v>25</v>
      </c>
      <c r="D943" t="s">
        <v>21</v>
      </c>
      <c r="E943" t="s">
        <v>29</v>
      </c>
      <c r="F943" t="s">
        <v>219</v>
      </c>
      <c r="G943">
        <v>4058.18</v>
      </c>
      <c r="H943">
        <v>4</v>
      </c>
      <c r="I943">
        <v>736.47</v>
      </c>
    </row>
    <row r="944" spans="1:9" x14ac:dyDescent="0.3">
      <c r="A944" t="s">
        <v>1167</v>
      </c>
      <c r="B944" s="1">
        <v>45318</v>
      </c>
      <c r="C944" t="s">
        <v>10</v>
      </c>
      <c r="D944" t="s">
        <v>11</v>
      </c>
      <c r="E944" t="s">
        <v>48</v>
      </c>
      <c r="F944" t="s">
        <v>40</v>
      </c>
      <c r="G944">
        <v>4000.83</v>
      </c>
      <c r="H944">
        <v>8</v>
      </c>
      <c r="I944">
        <v>-49.96</v>
      </c>
    </row>
    <row r="945" spans="1:9" x14ac:dyDescent="0.3">
      <c r="A945" t="s">
        <v>1168</v>
      </c>
      <c r="B945" s="1">
        <v>45703</v>
      </c>
      <c r="C945" t="s">
        <v>17</v>
      </c>
      <c r="D945" t="s">
        <v>11</v>
      </c>
      <c r="E945" t="s">
        <v>18</v>
      </c>
      <c r="F945" t="s">
        <v>520</v>
      </c>
      <c r="G945">
        <v>2832.31</v>
      </c>
      <c r="H945">
        <v>1</v>
      </c>
      <c r="I945">
        <v>389.85</v>
      </c>
    </row>
    <row r="946" spans="1:9" x14ac:dyDescent="0.3">
      <c r="A946" t="s">
        <v>1169</v>
      </c>
      <c r="B946" s="1">
        <v>45388</v>
      </c>
      <c r="C946" t="s">
        <v>17</v>
      </c>
      <c r="D946" t="s">
        <v>32</v>
      </c>
      <c r="E946" t="s">
        <v>33</v>
      </c>
      <c r="F946" t="s">
        <v>171</v>
      </c>
      <c r="G946">
        <v>409.52</v>
      </c>
      <c r="H946">
        <v>7</v>
      </c>
      <c r="I946">
        <v>99.63</v>
      </c>
    </row>
    <row r="947" spans="1:9" x14ac:dyDescent="0.3">
      <c r="A947" t="s">
        <v>1170</v>
      </c>
      <c r="B947" s="1">
        <v>45835</v>
      </c>
      <c r="C947" t="s">
        <v>25</v>
      </c>
      <c r="D947" t="s">
        <v>21</v>
      </c>
      <c r="E947" t="s">
        <v>36</v>
      </c>
      <c r="F947" t="s">
        <v>420</v>
      </c>
      <c r="G947">
        <v>2017.89</v>
      </c>
      <c r="H947">
        <v>2</v>
      </c>
      <c r="I947">
        <v>291.48</v>
      </c>
    </row>
    <row r="948" spans="1:9" x14ac:dyDescent="0.3">
      <c r="A948" t="s">
        <v>1171</v>
      </c>
      <c r="B948" s="1">
        <v>45375</v>
      </c>
      <c r="C948" t="s">
        <v>17</v>
      </c>
      <c r="D948" t="s">
        <v>21</v>
      </c>
      <c r="E948" t="s">
        <v>29</v>
      </c>
      <c r="F948" t="s">
        <v>360</v>
      </c>
      <c r="G948">
        <v>1600.87</v>
      </c>
      <c r="H948">
        <v>7</v>
      </c>
      <c r="I948">
        <v>4.68</v>
      </c>
    </row>
    <row r="949" spans="1:9" x14ac:dyDescent="0.3">
      <c r="A949" t="s">
        <v>1172</v>
      </c>
      <c r="B949" s="1">
        <v>45586</v>
      </c>
      <c r="C949" t="s">
        <v>10</v>
      </c>
      <c r="D949" t="s">
        <v>32</v>
      </c>
      <c r="E949" t="s">
        <v>73</v>
      </c>
      <c r="F949" t="s">
        <v>144</v>
      </c>
      <c r="G949">
        <v>2238.2600000000002</v>
      </c>
      <c r="H949">
        <v>9</v>
      </c>
      <c r="I949">
        <v>-197.56</v>
      </c>
    </row>
    <row r="950" spans="1:9" x14ac:dyDescent="0.3">
      <c r="A950" t="s">
        <v>1173</v>
      </c>
      <c r="B950" s="1">
        <v>45721</v>
      </c>
      <c r="C950" t="s">
        <v>28</v>
      </c>
      <c r="D950" t="s">
        <v>32</v>
      </c>
      <c r="E950" t="s">
        <v>39</v>
      </c>
      <c r="F950" t="s">
        <v>257</v>
      </c>
      <c r="G950">
        <v>4371.68</v>
      </c>
      <c r="H950">
        <v>7</v>
      </c>
      <c r="I950">
        <v>639.84</v>
      </c>
    </row>
    <row r="951" spans="1:9" x14ac:dyDescent="0.3">
      <c r="A951" t="s">
        <v>1174</v>
      </c>
      <c r="B951" s="1">
        <v>45492</v>
      </c>
      <c r="C951" t="s">
        <v>25</v>
      </c>
      <c r="D951" t="s">
        <v>32</v>
      </c>
      <c r="E951" t="s">
        <v>33</v>
      </c>
      <c r="F951" t="s">
        <v>195</v>
      </c>
      <c r="G951">
        <v>1438.26</v>
      </c>
      <c r="H951">
        <v>8</v>
      </c>
      <c r="I951">
        <v>262.56</v>
      </c>
    </row>
    <row r="952" spans="1:9" x14ac:dyDescent="0.3">
      <c r="A952" t="s">
        <v>1175</v>
      </c>
      <c r="B952" s="1">
        <v>45852</v>
      </c>
      <c r="C952" t="s">
        <v>25</v>
      </c>
      <c r="D952" t="s">
        <v>21</v>
      </c>
      <c r="E952" t="s">
        <v>22</v>
      </c>
      <c r="F952" t="s">
        <v>520</v>
      </c>
      <c r="G952">
        <v>1496.19</v>
      </c>
      <c r="H952">
        <v>4</v>
      </c>
      <c r="I952">
        <v>64.11</v>
      </c>
    </row>
    <row r="953" spans="1:9" x14ac:dyDescent="0.3">
      <c r="A953" t="s">
        <v>1176</v>
      </c>
      <c r="B953" s="1">
        <v>45700</v>
      </c>
      <c r="C953" t="s">
        <v>17</v>
      </c>
      <c r="D953" t="s">
        <v>21</v>
      </c>
      <c r="E953" t="s">
        <v>29</v>
      </c>
      <c r="F953" t="s">
        <v>294</v>
      </c>
      <c r="G953">
        <v>4784.74</v>
      </c>
      <c r="H953">
        <v>1</v>
      </c>
      <c r="I953">
        <v>743.54</v>
      </c>
    </row>
    <row r="954" spans="1:9" x14ac:dyDescent="0.3">
      <c r="A954" t="s">
        <v>1177</v>
      </c>
      <c r="B954" s="1">
        <v>45749</v>
      </c>
      <c r="C954" t="s">
        <v>17</v>
      </c>
      <c r="D954" t="s">
        <v>11</v>
      </c>
      <c r="E954" t="s">
        <v>12</v>
      </c>
      <c r="F954" t="s">
        <v>296</v>
      </c>
      <c r="G954">
        <v>4541.82</v>
      </c>
      <c r="H954">
        <v>4</v>
      </c>
      <c r="I954">
        <v>1311.18</v>
      </c>
    </row>
    <row r="955" spans="1:9" x14ac:dyDescent="0.3">
      <c r="A955" t="s">
        <v>1178</v>
      </c>
      <c r="B955" s="1">
        <v>45932</v>
      </c>
      <c r="C955" t="s">
        <v>17</v>
      </c>
      <c r="D955" t="s">
        <v>11</v>
      </c>
      <c r="E955" t="s">
        <v>12</v>
      </c>
      <c r="F955" t="s">
        <v>34</v>
      </c>
      <c r="G955">
        <v>2821.07</v>
      </c>
      <c r="H955">
        <v>7</v>
      </c>
      <c r="I955">
        <v>242.55</v>
      </c>
    </row>
    <row r="956" spans="1:9" x14ac:dyDescent="0.3">
      <c r="A956" t="s">
        <v>1179</v>
      </c>
      <c r="B956" s="1">
        <v>45624</v>
      </c>
      <c r="C956" t="s">
        <v>17</v>
      </c>
      <c r="D956" t="s">
        <v>32</v>
      </c>
      <c r="E956" t="s">
        <v>39</v>
      </c>
      <c r="F956" t="s">
        <v>404</v>
      </c>
      <c r="G956">
        <v>821.48</v>
      </c>
      <c r="H956">
        <v>6</v>
      </c>
      <c r="I956">
        <v>14.92</v>
      </c>
    </row>
    <row r="957" spans="1:9" x14ac:dyDescent="0.3">
      <c r="A957" t="s">
        <v>1180</v>
      </c>
      <c r="B957" s="1">
        <v>45847</v>
      </c>
      <c r="C957" t="s">
        <v>25</v>
      </c>
      <c r="D957" t="s">
        <v>32</v>
      </c>
      <c r="E957" t="s">
        <v>39</v>
      </c>
      <c r="F957" t="s">
        <v>125</v>
      </c>
      <c r="G957">
        <v>2786.86</v>
      </c>
      <c r="H957">
        <v>1</v>
      </c>
      <c r="I957">
        <v>159.63</v>
      </c>
    </row>
    <row r="958" spans="1:9" x14ac:dyDescent="0.3">
      <c r="A958" t="s">
        <v>1181</v>
      </c>
      <c r="B958" s="1">
        <v>45338</v>
      </c>
      <c r="C958" t="s">
        <v>10</v>
      </c>
      <c r="D958" t="s">
        <v>32</v>
      </c>
      <c r="E958" t="s">
        <v>39</v>
      </c>
      <c r="F958" t="s">
        <v>602</v>
      </c>
      <c r="G958">
        <v>3781.96</v>
      </c>
      <c r="H958">
        <v>4</v>
      </c>
      <c r="I958">
        <v>702.57</v>
      </c>
    </row>
    <row r="959" spans="1:9" x14ac:dyDescent="0.3">
      <c r="A959" t="s">
        <v>1182</v>
      </c>
      <c r="B959" s="1">
        <v>45990</v>
      </c>
      <c r="C959" t="s">
        <v>10</v>
      </c>
      <c r="D959" t="s">
        <v>32</v>
      </c>
      <c r="E959" t="s">
        <v>39</v>
      </c>
      <c r="F959" t="s">
        <v>349</v>
      </c>
      <c r="G959">
        <v>3762.07</v>
      </c>
      <c r="H959">
        <v>4</v>
      </c>
      <c r="I959">
        <v>51</v>
      </c>
    </row>
    <row r="960" spans="1:9" x14ac:dyDescent="0.3">
      <c r="A960" t="s">
        <v>1183</v>
      </c>
      <c r="B960" s="1">
        <v>45848</v>
      </c>
      <c r="C960" t="s">
        <v>28</v>
      </c>
      <c r="D960" t="s">
        <v>32</v>
      </c>
      <c r="E960" t="s">
        <v>39</v>
      </c>
      <c r="F960" t="s">
        <v>438</v>
      </c>
      <c r="G960">
        <v>2420.23</v>
      </c>
      <c r="H960">
        <v>10</v>
      </c>
      <c r="I960">
        <v>-139.63999999999999</v>
      </c>
    </row>
    <row r="961" spans="1:9" x14ac:dyDescent="0.3">
      <c r="A961" t="s">
        <v>1184</v>
      </c>
      <c r="B961" s="1">
        <v>45439</v>
      </c>
      <c r="C961" t="s">
        <v>17</v>
      </c>
      <c r="D961" t="s">
        <v>11</v>
      </c>
      <c r="E961" t="s">
        <v>12</v>
      </c>
      <c r="F961" t="s">
        <v>412</v>
      </c>
      <c r="G961">
        <v>4537.1099999999997</v>
      </c>
      <c r="H961">
        <v>7</v>
      </c>
      <c r="I961">
        <v>-119.3</v>
      </c>
    </row>
    <row r="962" spans="1:9" x14ac:dyDescent="0.3">
      <c r="A962" t="s">
        <v>1185</v>
      </c>
      <c r="B962" s="1">
        <v>45717</v>
      </c>
      <c r="C962" t="s">
        <v>10</v>
      </c>
      <c r="D962" t="s">
        <v>32</v>
      </c>
      <c r="E962" t="s">
        <v>33</v>
      </c>
      <c r="F962" t="s">
        <v>520</v>
      </c>
      <c r="G962">
        <v>1903.82</v>
      </c>
      <c r="H962">
        <v>5</v>
      </c>
      <c r="I962">
        <v>305.74</v>
      </c>
    </row>
    <row r="963" spans="1:9" x14ac:dyDescent="0.3">
      <c r="A963" t="s">
        <v>1186</v>
      </c>
      <c r="B963" s="1">
        <v>45850</v>
      </c>
      <c r="C963" t="s">
        <v>25</v>
      </c>
      <c r="D963" t="s">
        <v>32</v>
      </c>
      <c r="E963" t="s">
        <v>39</v>
      </c>
      <c r="F963" t="s">
        <v>97</v>
      </c>
      <c r="G963">
        <v>2606.58</v>
      </c>
      <c r="H963">
        <v>1</v>
      </c>
      <c r="I963">
        <v>585.49</v>
      </c>
    </row>
    <row r="964" spans="1:9" x14ac:dyDescent="0.3">
      <c r="A964" t="s">
        <v>1187</v>
      </c>
      <c r="B964" s="1">
        <v>45568</v>
      </c>
      <c r="C964" t="s">
        <v>10</v>
      </c>
      <c r="D964" t="s">
        <v>32</v>
      </c>
      <c r="E964" t="s">
        <v>73</v>
      </c>
      <c r="F964" t="s">
        <v>764</v>
      </c>
      <c r="G964">
        <v>1190.67</v>
      </c>
      <c r="H964">
        <v>7</v>
      </c>
      <c r="I964">
        <v>73.58</v>
      </c>
    </row>
    <row r="965" spans="1:9" x14ac:dyDescent="0.3">
      <c r="A965" t="s">
        <v>1188</v>
      </c>
      <c r="B965" s="1">
        <v>45446</v>
      </c>
      <c r="C965" t="s">
        <v>25</v>
      </c>
      <c r="D965" t="s">
        <v>32</v>
      </c>
      <c r="E965" t="s">
        <v>39</v>
      </c>
      <c r="F965" t="s">
        <v>97</v>
      </c>
      <c r="G965">
        <v>545.17999999999995</v>
      </c>
      <c r="H965">
        <v>5</v>
      </c>
      <c r="I965">
        <v>116.69</v>
      </c>
    </row>
    <row r="966" spans="1:9" x14ac:dyDescent="0.3">
      <c r="A966" t="s">
        <v>1189</v>
      </c>
      <c r="B966" s="1">
        <v>45965</v>
      </c>
      <c r="C966" t="s">
        <v>10</v>
      </c>
      <c r="D966" t="s">
        <v>21</v>
      </c>
      <c r="E966" t="s">
        <v>22</v>
      </c>
      <c r="F966" t="s">
        <v>681</v>
      </c>
      <c r="G966">
        <v>1129.9000000000001</v>
      </c>
      <c r="H966">
        <v>3</v>
      </c>
      <c r="I966">
        <v>-18.32</v>
      </c>
    </row>
    <row r="967" spans="1:9" x14ac:dyDescent="0.3">
      <c r="A967" t="s">
        <v>1190</v>
      </c>
      <c r="B967" s="1">
        <v>45358</v>
      </c>
      <c r="C967" t="s">
        <v>28</v>
      </c>
      <c r="D967" t="s">
        <v>21</v>
      </c>
      <c r="E967" t="s">
        <v>36</v>
      </c>
      <c r="F967" t="s">
        <v>34</v>
      </c>
      <c r="G967">
        <v>1769.02</v>
      </c>
      <c r="H967">
        <v>8</v>
      </c>
      <c r="I967">
        <v>502.44</v>
      </c>
    </row>
    <row r="968" spans="1:9" x14ac:dyDescent="0.3">
      <c r="A968" t="s">
        <v>1191</v>
      </c>
      <c r="B968" s="1">
        <v>45380</v>
      </c>
      <c r="C968" t="s">
        <v>10</v>
      </c>
      <c r="D968" t="s">
        <v>11</v>
      </c>
      <c r="E968" t="s">
        <v>18</v>
      </c>
      <c r="F968" t="s">
        <v>160</v>
      </c>
      <c r="G968">
        <v>502.41</v>
      </c>
      <c r="H968">
        <v>4</v>
      </c>
      <c r="I968">
        <v>48.58</v>
      </c>
    </row>
    <row r="969" spans="1:9" x14ac:dyDescent="0.3">
      <c r="A969" t="s">
        <v>1192</v>
      </c>
      <c r="B969" s="1">
        <v>45424</v>
      </c>
      <c r="C969" t="s">
        <v>25</v>
      </c>
      <c r="D969" t="s">
        <v>32</v>
      </c>
      <c r="E969" t="s">
        <v>33</v>
      </c>
      <c r="F969" t="s">
        <v>113</v>
      </c>
      <c r="G969">
        <v>946.26</v>
      </c>
      <c r="H969">
        <v>1</v>
      </c>
      <c r="I969">
        <v>-89.39</v>
      </c>
    </row>
    <row r="970" spans="1:9" x14ac:dyDescent="0.3">
      <c r="A970" t="s">
        <v>1193</v>
      </c>
      <c r="B970" s="1">
        <v>45450</v>
      </c>
      <c r="C970" t="s">
        <v>17</v>
      </c>
      <c r="D970" t="s">
        <v>32</v>
      </c>
      <c r="E970" t="s">
        <v>33</v>
      </c>
      <c r="F970" t="s">
        <v>61</v>
      </c>
      <c r="G970">
        <v>1429.15</v>
      </c>
      <c r="H970">
        <v>7</v>
      </c>
      <c r="I970">
        <v>-83.16</v>
      </c>
    </row>
    <row r="971" spans="1:9" x14ac:dyDescent="0.3">
      <c r="A971" t="s">
        <v>1194</v>
      </c>
      <c r="B971" s="1">
        <v>45708</v>
      </c>
      <c r="C971" t="s">
        <v>17</v>
      </c>
      <c r="D971" t="s">
        <v>11</v>
      </c>
      <c r="E971" t="s">
        <v>18</v>
      </c>
      <c r="F971" t="s">
        <v>180</v>
      </c>
      <c r="G971">
        <v>3991.14</v>
      </c>
      <c r="H971">
        <v>2</v>
      </c>
      <c r="I971">
        <v>918.34</v>
      </c>
    </row>
    <row r="972" spans="1:9" x14ac:dyDescent="0.3">
      <c r="A972" t="s">
        <v>1195</v>
      </c>
      <c r="B972" s="1">
        <v>45598</v>
      </c>
      <c r="C972" t="s">
        <v>25</v>
      </c>
      <c r="D972" t="s">
        <v>11</v>
      </c>
      <c r="E972" t="s">
        <v>18</v>
      </c>
      <c r="F972" t="s">
        <v>576</v>
      </c>
      <c r="G972">
        <v>790.47</v>
      </c>
      <c r="H972">
        <v>10</v>
      </c>
      <c r="I972">
        <v>-9.35</v>
      </c>
    </row>
    <row r="973" spans="1:9" x14ac:dyDescent="0.3">
      <c r="A973" t="s">
        <v>1196</v>
      </c>
      <c r="B973" s="1">
        <v>45932</v>
      </c>
      <c r="C973" t="s">
        <v>10</v>
      </c>
      <c r="D973" t="s">
        <v>32</v>
      </c>
      <c r="E973" t="s">
        <v>73</v>
      </c>
      <c r="F973" t="s">
        <v>171</v>
      </c>
      <c r="G973">
        <v>312.91000000000003</v>
      </c>
      <c r="H973">
        <v>1</v>
      </c>
      <c r="I973">
        <v>79.319999999999993</v>
      </c>
    </row>
    <row r="974" spans="1:9" x14ac:dyDescent="0.3">
      <c r="A974" t="s">
        <v>1197</v>
      </c>
      <c r="B974" s="1">
        <v>45799</v>
      </c>
      <c r="C974" t="s">
        <v>17</v>
      </c>
      <c r="D974" t="s">
        <v>21</v>
      </c>
      <c r="E974" t="s">
        <v>22</v>
      </c>
      <c r="F974" t="s">
        <v>176</v>
      </c>
      <c r="G974">
        <v>3196.79</v>
      </c>
      <c r="H974">
        <v>3</v>
      </c>
      <c r="I974">
        <v>851.13</v>
      </c>
    </row>
    <row r="975" spans="1:9" x14ac:dyDescent="0.3">
      <c r="A975" t="s">
        <v>1198</v>
      </c>
      <c r="B975" s="1">
        <v>45780</v>
      </c>
      <c r="C975" t="s">
        <v>25</v>
      </c>
      <c r="D975" t="s">
        <v>21</v>
      </c>
      <c r="E975" t="s">
        <v>29</v>
      </c>
      <c r="F975" t="s">
        <v>49</v>
      </c>
      <c r="G975">
        <v>1642.25</v>
      </c>
      <c r="H975">
        <v>9</v>
      </c>
      <c r="I975">
        <v>-116.73</v>
      </c>
    </row>
    <row r="976" spans="1:9" x14ac:dyDescent="0.3">
      <c r="A976" t="s">
        <v>1199</v>
      </c>
      <c r="B976" s="1">
        <v>45406</v>
      </c>
      <c r="C976" t="s">
        <v>25</v>
      </c>
      <c r="D976" t="s">
        <v>32</v>
      </c>
      <c r="E976" t="s">
        <v>33</v>
      </c>
      <c r="F976" t="s">
        <v>223</v>
      </c>
      <c r="G976">
        <v>4308.55</v>
      </c>
      <c r="H976">
        <v>5</v>
      </c>
      <c r="I976">
        <v>632.22</v>
      </c>
    </row>
    <row r="977" spans="1:9" x14ac:dyDescent="0.3">
      <c r="A977" t="s">
        <v>1200</v>
      </c>
      <c r="B977" s="1">
        <v>45574</v>
      </c>
      <c r="C977" t="s">
        <v>17</v>
      </c>
      <c r="D977" t="s">
        <v>21</v>
      </c>
      <c r="E977" t="s">
        <v>22</v>
      </c>
      <c r="F977" t="s">
        <v>541</v>
      </c>
      <c r="G977">
        <v>4792.71</v>
      </c>
      <c r="H977">
        <v>3</v>
      </c>
      <c r="I977">
        <v>168.22</v>
      </c>
    </row>
    <row r="978" spans="1:9" x14ac:dyDescent="0.3">
      <c r="A978" t="s">
        <v>1201</v>
      </c>
      <c r="B978" s="1">
        <v>45506</v>
      </c>
      <c r="C978" t="s">
        <v>17</v>
      </c>
      <c r="D978" t="s">
        <v>11</v>
      </c>
      <c r="E978" t="s">
        <v>18</v>
      </c>
      <c r="F978" t="s">
        <v>13</v>
      </c>
      <c r="G978">
        <v>109.05</v>
      </c>
      <c r="H978">
        <v>3</v>
      </c>
      <c r="I978">
        <v>8.73</v>
      </c>
    </row>
    <row r="979" spans="1:9" x14ac:dyDescent="0.3">
      <c r="A979" t="s">
        <v>1202</v>
      </c>
      <c r="B979" s="1">
        <v>45661</v>
      </c>
      <c r="C979" t="s">
        <v>10</v>
      </c>
      <c r="D979" t="s">
        <v>11</v>
      </c>
      <c r="E979" t="s">
        <v>18</v>
      </c>
      <c r="F979" t="s">
        <v>34</v>
      </c>
      <c r="G979">
        <v>4427.18</v>
      </c>
      <c r="H979">
        <v>9</v>
      </c>
      <c r="I979">
        <v>1200.7</v>
      </c>
    </row>
    <row r="980" spans="1:9" x14ac:dyDescent="0.3">
      <c r="A980" t="s">
        <v>1203</v>
      </c>
      <c r="B980" s="1">
        <v>45697</v>
      </c>
      <c r="C980" t="s">
        <v>17</v>
      </c>
      <c r="D980" t="s">
        <v>11</v>
      </c>
      <c r="E980" t="s">
        <v>18</v>
      </c>
      <c r="F980" t="s">
        <v>63</v>
      </c>
      <c r="G980">
        <v>1188.94</v>
      </c>
      <c r="H980">
        <v>10</v>
      </c>
      <c r="I980">
        <v>74.84</v>
      </c>
    </row>
    <row r="981" spans="1:9" x14ac:dyDescent="0.3">
      <c r="A981" t="s">
        <v>1204</v>
      </c>
      <c r="B981" s="1">
        <v>45460</v>
      </c>
      <c r="C981" t="s">
        <v>17</v>
      </c>
      <c r="D981" t="s">
        <v>32</v>
      </c>
      <c r="E981" t="s">
        <v>39</v>
      </c>
      <c r="F981" t="s">
        <v>226</v>
      </c>
      <c r="G981">
        <v>2759.54</v>
      </c>
      <c r="H981">
        <v>4</v>
      </c>
      <c r="I981">
        <v>74.88</v>
      </c>
    </row>
    <row r="982" spans="1:9" x14ac:dyDescent="0.3">
      <c r="A982" t="s">
        <v>1205</v>
      </c>
      <c r="B982" s="1">
        <v>45959</v>
      </c>
      <c r="C982" t="s">
        <v>10</v>
      </c>
      <c r="D982" t="s">
        <v>21</v>
      </c>
      <c r="E982" t="s">
        <v>22</v>
      </c>
      <c r="F982" t="s">
        <v>999</v>
      </c>
      <c r="G982">
        <v>2384.29</v>
      </c>
      <c r="H982">
        <v>4</v>
      </c>
      <c r="I982">
        <v>583.47</v>
      </c>
    </row>
    <row r="983" spans="1:9" x14ac:dyDescent="0.3">
      <c r="A983" t="s">
        <v>1206</v>
      </c>
      <c r="B983" s="1">
        <v>45382</v>
      </c>
      <c r="C983" t="s">
        <v>28</v>
      </c>
      <c r="D983" t="s">
        <v>32</v>
      </c>
      <c r="E983" t="s">
        <v>33</v>
      </c>
      <c r="F983" t="s">
        <v>401</v>
      </c>
      <c r="G983">
        <v>3580.48</v>
      </c>
      <c r="H983">
        <v>8</v>
      </c>
      <c r="I983">
        <v>211.41</v>
      </c>
    </row>
    <row r="984" spans="1:9" x14ac:dyDescent="0.3">
      <c r="A984" t="s">
        <v>1207</v>
      </c>
      <c r="B984" s="1">
        <v>45777</v>
      </c>
      <c r="C984" t="s">
        <v>25</v>
      </c>
      <c r="D984" t="s">
        <v>21</v>
      </c>
      <c r="E984" t="s">
        <v>22</v>
      </c>
      <c r="F984" t="s">
        <v>261</v>
      </c>
      <c r="G984">
        <v>3109.75</v>
      </c>
      <c r="H984">
        <v>1</v>
      </c>
      <c r="I984">
        <v>509.42</v>
      </c>
    </row>
    <row r="985" spans="1:9" x14ac:dyDescent="0.3">
      <c r="A985" t="s">
        <v>1208</v>
      </c>
      <c r="B985" s="1">
        <v>45573</v>
      </c>
      <c r="C985" t="s">
        <v>17</v>
      </c>
      <c r="D985" t="s">
        <v>21</v>
      </c>
      <c r="E985" t="s">
        <v>22</v>
      </c>
      <c r="F985" t="s">
        <v>13</v>
      </c>
      <c r="G985">
        <v>4199.33</v>
      </c>
      <c r="H985">
        <v>8</v>
      </c>
      <c r="I985">
        <v>-383.12</v>
      </c>
    </row>
    <row r="986" spans="1:9" x14ac:dyDescent="0.3">
      <c r="A986" t="s">
        <v>1209</v>
      </c>
      <c r="B986" s="1">
        <v>45574</v>
      </c>
      <c r="C986" t="s">
        <v>28</v>
      </c>
      <c r="D986" t="s">
        <v>11</v>
      </c>
      <c r="E986" t="s">
        <v>18</v>
      </c>
      <c r="F986" t="s">
        <v>523</v>
      </c>
      <c r="G986">
        <v>1509.61</v>
      </c>
      <c r="H986">
        <v>8</v>
      </c>
      <c r="I986">
        <v>272.14</v>
      </c>
    </row>
    <row r="987" spans="1:9" x14ac:dyDescent="0.3">
      <c r="A987" t="s">
        <v>1210</v>
      </c>
      <c r="B987" s="1">
        <v>45733</v>
      </c>
      <c r="C987" t="s">
        <v>10</v>
      </c>
      <c r="D987" t="s">
        <v>32</v>
      </c>
      <c r="E987" t="s">
        <v>73</v>
      </c>
      <c r="F987" t="s">
        <v>283</v>
      </c>
      <c r="G987">
        <v>2353.69</v>
      </c>
      <c r="H987">
        <v>8</v>
      </c>
      <c r="I987">
        <v>469.18</v>
      </c>
    </row>
    <row r="988" spans="1:9" x14ac:dyDescent="0.3">
      <c r="A988" t="s">
        <v>1211</v>
      </c>
      <c r="B988" s="1">
        <v>45711</v>
      </c>
      <c r="C988" t="s">
        <v>25</v>
      </c>
      <c r="D988" t="s">
        <v>21</v>
      </c>
      <c r="E988" t="s">
        <v>36</v>
      </c>
      <c r="F988" t="s">
        <v>13</v>
      </c>
      <c r="G988">
        <v>137.85</v>
      </c>
      <c r="H988">
        <v>10</v>
      </c>
      <c r="I988">
        <v>7.59</v>
      </c>
    </row>
    <row r="989" spans="1:9" x14ac:dyDescent="0.3">
      <c r="A989" t="s">
        <v>1212</v>
      </c>
      <c r="B989" s="1">
        <v>45436</v>
      </c>
      <c r="C989" t="s">
        <v>25</v>
      </c>
      <c r="D989" t="s">
        <v>21</v>
      </c>
      <c r="E989" t="s">
        <v>36</v>
      </c>
      <c r="F989" t="s">
        <v>44</v>
      </c>
      <c r="G989">
        <v>3397.79</v>
      </c>
      <c r="H989">
        <v>4</v>
      </c>
      <c r="I989">
        <v>-210.25</v>
      </c>
    </row>
    <row r="990" spans="1:9" x14ac:dyDescent="0.3">
      <c r="A990" t="s">
        <v>1213</v>
      </c>
      <c r="B990" s="1">
        <v>45300</v>
      </c>
      <c r="C990" t="s">
        <v>10</v>
      </c>
      <c r="D990" t="s">
        <v>11</v>
      </c>
      <c r="E990" t="s">
        <v>12</v>
      </c>
      <c r="F990" t="s">
        <v>144</v>
      </c>
      <c r="G990">
        <v>270.81</v>
      </c>
      <c r="H990">
        <v>7</v>
      </c>
      <c r="I990">
        <v>-19.510000000000002</v>
      </c>
    </row>
    <row r="991" spans="1:9" x14ac:dyDescent="0.3">
      <c r="A991" t="s">
        <v>1214</v>
      </c>
      <c r="B991" s="1">
        <v>45971</v>
      </c>
      <c r="C991" t="s">
        <v>28</v>
      </c>
      <c r="D991" t="s">
        <v>11</v>
      </c>
      <c r="E991" t="s">
        <v>18</v>
      </c>
      <c r="F991" t="s">
        <v>171</v>
      </c>
      <c r="G991">
        <v>3892.01</v>
      </c>
      <c r="H991">
        <v>5</v>
      </c>
      <c r="I991">
        <v>227.95</v>
      </c>
    </row>
    <row r="992" spans="1:9" x14ac:dyDescent="0.3">
      <c r="A992" t="s">
        <v>1215</v>
      </c>
      <c r="B992" s="1">
        <v>45884</v>
      </c>
      <c r="C992" t="s">
        <v>10</v>
      </c>
      <c r="D992" t="s">
        <v>21</v>
      </c>
      <c r="E992" t="s">
        <v>22</v>
      </c>
      <c r="F992" t="s">
        <v>480</v>
      </c>
      <c r="G992">
        <v>780.76</v>
      </c>
      <c r="H992">
        <v>7</v>
      </c>
      <c r="I992">
        <v>-73.819999999999993</v>
      </c>
    </row>
    <row r="993" spans="1:9" x14ac:dyDescent="0.3">
      <c r="A993" t="s">
        <v>1216</v>
      </c>
      <c r="B993" s="1">
        <v>45830</v>
      </c>
      <c r="C993" t="s">
        <v>10</v>
      </c>
      <c r="D993" t="s">
        <v>32</v>
      </c>
      <c r="E993" t="s">
        <v>39</v>
      </c>
      <c r="F993" t="s">
        <v>681</v>
      </c>
      <c r="G993">
        <v>4296.1499999999996</v>
      </c>
      <c r="H993">
        <v>9</v>
      </c>
      <c r="I993">
        <v>-44.86</v>
      </c>
    </row>
    <row r="994" spans="1:9" x14ac:dyDescent="0.3">
      <c r="A994" t="s">
        <v>1217</v>
      </c>
      <c r="B994" s="1">
        <v>45473</v>
      </c>
      <c r="C994" t="s">
        <v>28</v>
      </c>
      <c r="D994" t="s">
        <v>11</v>
      </c>
      <c r="E994" t="s">
        <v>48</v>
      </c>
      <c r="F994" t="s">
        <v>569</v>
      </c>
      <c r="G994">
        <v>1382.05</v>
      </c>
      <c r="H994">
        <v>5</v>
      </c>
      <c r="I994">
        <v>-36.53</v>
      </c>
    </row>
    <row r="995" spans="1:9" x14ac:dyDescent="0.3">
      <c r="A995" t="s">
        <v>1218</v>
      </c>
      <c r="B995" s="1">
        <v>45415</v>
      </c>
      <c r="C995" t="s">
        <v>25</v>
      </c>
      <c r="D995" t="s">
        <v>11</v>
      </c>
      <c r="E995" t="s">
        <v>12</v>
      </c>
      <c r="F995" t="s">
        <v>552</v>
      </c>
      <c r="G995">
        <v>2355.77</v>
      </c>
      <c r="H995">
        <v>4</v>
      </c>
      <c r="I995">
        <v>148.12</v>
      </c>
    </row>
    <row r="996" spans="1:9" x14ac:dyDescent="0.3">
      <c r="A996" t="s">
        <v>1219</v>
      </c>
      <c r="B996" s="1">
        <v>45815</v>
      </c>
      <c r="C996" t="s">
        <v>25</v>
      </c>
      <c r="D996" t="s">
        <v>21</v>
      </c>
      <c r="E996" t="s">
        <v>36</v>
      </c>
      <c r="F996" t="s">
        <v>107</v>
      </c>
      <c r="G996">
        <v>1309.49</v>
      </c>
      <c r="H996">
        <v>5</v>
      </c>
      <c r="I996">
        <v>-13.38</v>
      </c>
    </row>
    <row r="997" spans="1:9" x14ac:dyDescent="0.3">
      <c r="A997" t="s">
        <v>1220</v>
      </c>
      <c r="B997" s="1">
        <v>45773</v>
      </c>
      <c r="C997" t="s">
        <v>28</v>
      </c>
      <c r="D997" t="s">
        <v>21</v>
      </c>
      <c r="E997" t="s">
        <v>29</v>
      </c>
      <c r="F997" t="s">
        <v>298</v>
      </c>
      <c r="G997">
        <v>4977.17</v>
      </c>
      <c r="H997">
        <v>5</v>
      </c>
      <c r="I997">
        <v>83.96</v>
      </c>
    </row>
    <row r="998" spans="1:9" x14ac:dyDescent="0.3">
      <c r="A998" t="s">
        <v>1221</v>
      </c>
      <c r="B998" s="1">
        <v>45980</v>
      </c>
      <c r="C998" t="s">
        <v>17</v>
      </c>
      <c r="D998" t="s">
        <v>11</v>
      </c>
      <c r="E998" t="s">
        <v>12</v>
      </c>
      <c r="F998" t="s">
        <v>393</v>
      </c>
      <c r="G998">
        <v>1831.68</v>
      </c>
      <c r="H998">
        <v>8</v>
      </c>
      <c r="I998">
        <v>-114.22</v>
      </c>
    </row>
    <row r="999" spans="1:9" x14ac:dyDescent="0.3">
      <c r="A999" t="s">
        <v>1222</v>
      </c>
      <c r="B999" s="1">
        <v>45840</v>
      </c>
      <c r="C999" t="s">
        <v>17</v>
      </c>
      <c r="D999" t="s">
        <v>32</v>
      </c>
      <c r="E999" t="s">
        <v>39</v>
      </c>
      <c r="F999" t="s">
        <v>587</v>
      </c>
      <c r="G999">
        <v>4955.46</v>
      </c>
      <c r="H999">
        <v>5</v>
      </c>
      <c r="I999">
        <v>151.65</v>
      </c>
    </row>
    <row r="1000" spans="1:9" x14ac:dyDescent="0.3">
      <c r="A1000" t="s">
        <v>1223</v>
      </c>
      <c r="B1000" s="1">
        <v>45568</v>
      </c>
      <c r="C1000" t="s">
        <v>10</v>
      </c>
      <c r="D1000" t="s">
        <v>11</v>
      </c>
      <c r="E1000" t="s">
        <v>48</v>
      </c>
      <c r="F1000" t="s">
        <v>111</v>
      </c>
      <c r="G1000">
        <v>2680.79</v>
      </c>
      <c r="H1000">
        <v>10</v>
      </c>
      <c r="I1000">
        <v>186.29</v>
      </c>
    </row>
    <row r="1001" spans="1:9" x14ac:dyDescent="0.3">
      <c r="A1001" t="s">
        <v>1224</v>
      </c>
      <c r="B1001" s="1">
        <v>45777</v>
      </c>
      <c r="C1001" t="s">
        <v>17</v>
      </c>
      <c r="D1001" t="s">
        <v>11</v>
      </c>
      <c r="E1001" t="s">
        <v>12</v>
      </c>
      <c r="F1001" t="s">
        <v>127</v>
      </c>
      <c r="G1001">
        <v>3124.98</v>
      </c>
      <c r="H1001">
        <v>4</v>
      </c>
      <c r="I1001">
        <v>830.59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1F12B-CCED-4CB1-BE9B-1D6526243FF7}">
  <dimension ref="A1:Q26"/>
  <sheetViews>
    <sheetView zoomScale="62" workbookViewId="0">
      <selection activeCell="E1" sqref="E1"/>
    </sheetView>
  </sheetViews>
  <sheetFormatPr defaultRowHeight="14.4" x14ac:dyDescent="0.3"/>
  <cols>
    <col min="1" max="1" width="17.6640625" bestFit="1" customWidth="1"/>
    <col min="2" max="2" width="16.44140625" bestFit="1" customWidth="1"/>
    <col min="5" max="5" width="18.44140625" bestFit="1" customWidth="1"/>
    <col min="6" max="6" width="16.44140625" bestFit="1" customWidth="1"/>
    <col min="9" max="9" width="17.6640625" bestFit="1" customWidth="1"/>
    <col min="10" max="11" width="16.44140625" bestFit="1" customWidth="1"/>
    <col min="12" max="12" width="10.33203125" bestFit="1" customWidth="1"/>
    <col min="13" max="14" width="19.77734375" bestFit="1" customWidth="1"/>
    <col min="15" max="15" width="12.109375" bestFit="1" customWidth="1"/>
    <col min="16" max="16" width="17.6640625" bestFit="1" customWidth="1"/>
    <col min="17" max="17" width="16.44140625" bestFit="1" customWidth="1"/>
    <col min="18" max="18" width="12.109375" bestFit="1" customWidth="1"/>
    <col min="19" max="551" width="10.33203125" bestFit="1" customWidth="1"/>
    <col min="552" max="552" width="10.77734375" bestFit="1" customWidth="1"/>
  </cols>
  <sheetData>
    <row r="1" spans="1:17" x14ac:dyDescent="0.3">
      <c r="A1" s="2" t="s">
        <v>1225</v>
      </c>
      <c r="B1" t="s">
        <v>1227</v>
      </c>
      <c r="E1" s="2" t="s">
        <v>1243</v>
      </c>
      <c r="F1" t="s">
        <v>1228</v>
      </c>
      <c r="I1" s="2" t="s">
        <v>1225</v>
      </c>
      <c r="J1" t="s">
        <v>1228</v>
      </c>
      <c r="P1" s="2" t="s">
        <v>1225</v>
      </c>
      <c r="Q1" t="s">
        <v>1227</v>
      </c>
    </row>
    <row r="2" spans="1:17" x14ac:dyDescent="0.3">
      <c r="A2" s="3" t="s">
        <v>73</v>
      </c>
      <c r="B2" s="4">
        <v>0.37729692064680309</v>
      </c>
      <c r="E2" s="3" t="s">
        <v>73</v>
      </c>
      <c r="F2" s="4">
        <v>0.34819935278992192</v>
      </c>
      <c r="I2" s="3" t="s">
        <v>1231</v>
      </c>
      <c r="J2" s="4">
        <v>5.5623138710087901E-2</v>
      </c>
      <c r="P2" s="3" t="s">
        <v>1229</v>
      </c>
      <c r="Q2" s="4">
        <v>0.55548273646000335</v>
      </c>
    </row>
    <row r="3" spans="1:17" x14ac:dyDescent="0.3">
      <c r="A3" s="3" t="s">
        <v>33</v>
      </c>
      <c r="B3" s="4">
        <v>0.39535354534048028</v>
      </c>
      <c r="E3" s="3" t="s">
        <v>33</v>
      </c>
      <c r="F3" s="4">
        <v>0.31640662485455295</v>
      </c>
      <c r="I3" s="3" t="s">
        <v>1232</v>
      </c>
      <c r="J3" s="4">
        <v>0.11861216833791016</v>
      </c>
      <c r="K3" s="5">
        <f>K5</f>
        <v>223732.61</v>
      </c>
      <c r="P3" s="3" t="s">
        <v>1230</v>
      </c>
      <c r="Q3" s="4">
        <v>0.44451726353999677</v>
      </c>
    </row>
    <row r="4" spans="1:17" x14ac:dyDescent="0.3">
      <c r="A4" s="3" t="s">
        <v>39</v>
      </c>
      <c r="B4" s="4">
        <v>0.22734953401271668</v>
      </c>
      <c r="E4" s="3" t="s">
        <v>39</v>
      </c>
      <c r="F4" s="4">
        <v>0.33539402235552523</v>
      </c>
      <c r="I4" s="3" t="s">
        <v>1233</v>
      </c>
      <c r="J4" s="4">
        <v>9.7267537351841557E-2</v>
      </c>
      <c r="K4" t="s">
        <v>1228</v>
      </c>
      <c r="M4" t="s">
        <v>1245</v>
      </c>
      <c r="P4" s="3" t="s">
        <v>1226</v>
      </c>
      <c r="Q4" s="4">
        <v>1</v>
      </c>
    </row>
    <row r="5" spans="1:17" x14ac:dyDescent="0.3">
      <c r="A5" s="3" t="s">
        <v>1226</v>
      </c>
      <c r="B5" s="4">
        <v>1</v>
      </c>
      <c r="I5" s="3" t="s">
        <v>1234</v>
      </c>
      <c r="J5" s="4">
        <v>8.7945874318455422E-2</v>
      </c>
      <c r="K5" s="5">
        <v>223732.61</v>
      </c>
      <c r="M5" s="5">
        <v>455</v>
      </c>
      <c r="N5" s="5">
        <f>M5</f>
        <v>455</v>
      </c>
    </row>
    <row r="6" spans="1:17" x14ac:dyDescent="0.3">
      <c r="I6" s="3" t="s">
        <v>1235</v>
      </c>
      <c r="J6" s="4">
        <v>0.11546859440829838</v>
      </c>
    </row>
    <row r="7" spans="1:17" x14ac:dyDescent="0.3">
      <c r="I7" s="3" t="s">
        <v>1236</v>
      </c>
      <c r="J7" s="4">
        <v>0.11750504318525583</v>
      </c>
      <c r="K7" t="s">
        <v>1244</v>
      </c>
      <c r="L7" s="6">
        <f>K8</f>
        <v>246.97499999999999</v>
      </c>
    </row>
    <row r="8" spans="1:17" x14ac:dyDescent="0.3">
      <c r="I8" s="3" t="s">
        <v>1237</v>
      </c>
      <c r="J8" s="4">
        <v>6.1836493124538268E-2</v>
      </c>
      <c r="K8" s="6">
        <v>246.97499999999999</v>
      </c>
    </row>
    <row r="9" spans="1:17" x14ac:dyDescent="0.3">
      <c r="I9" s="3" t="s">
        <v>1238</v>
      </c>
      <c r="J9" s="4">
        <v>2.8532362805761755E-2</v>
      </c>
    </row>
    <row r="10" spans="1:17" x14ac:dyDescent="0.3">
      <c r="I10" s="3" t="s">
        <v>1239</v>
      </c>
      <c r="J10" s="4">
        <v>4.620667501264121E-2</v>
      </c>
    </row>
    <row r="11" spans="1:17" x14ac:dyDescent="0.3">
      <c r="I11" s="3" t="s">
        <v>1240</v>
      </c>
      <c r="J11" s="4">
        <v>0.10341585877892365</v>
      </c>
    </row>
    <row r="12" spans="1:17" x14ac:dyDescent="0.3">
      <c r="I12" s="3" t="s">
        <v>1241</v>
      </c>
      <c r="J12" s="4">
        <v>9.9066425766007021E-2</v>
      </c>
    </row>
    <row r="13" spans="1:17" x14ac:dyDescent="0.3">
      <c r="I13" s="3" t="s">
        <v>1242</v>
      </c>
      <c r="J13" s="4">
        <v>6.8519828200278909E-2</v>
      </c>
    </row>
    <row r="14" spans="1:17" x14ac:dyDescent="0.3">
      <c r="I14" s="3" t="s">
        <v>1226</v>
      </c>
      <c r="J14" s="4">
        <v>1</v>
      </c>
    </row>
    <row r="16" spans="1:17" x14ac:dyDescent="0.3">
      <c r="J16" t="s">
        <v>1243</v>
      </c>
      <c r="K16" t="s">
        <v>1228</v>
      </c>
    </row>
    <row r="17" spans="10:11" x14ac:dyDescent="0.3">
      <c r="J17" t="str">
        <f>IF(E2=0,"",E2)</f>
        <v>Binders</v>
      </c>
      <c r="K17" s="4">
        <f>IF(F2=0,"",F2)</f>
        <v>0.34819935278992192</v>
      </c>
    </row>
    <row r="18" spans="10:11" x14ac:dyDescent="0.3">
      <c r="J18" t="str">
        <f t="shared" ref="J18:J26" si="0">IF(E3=0,"",E3)</f>
        <v>Paper</v>
      </c>
      <c r="K18" s="4">
        <f t="shared" ref="K18:K24" si="1">IF(F3=0,"",F3)</f>
        <v>0.31640662485455295</v>
      </c>
    </row>
    <row r="19" spans="10:11" x14ac:dyDescent="0.3">
      <c r="J19" t="str">
        <f t="shared" si="0"/>
        <v>Storage</v>
      </c>
      <c r="K19" s="4">
        <f t="shared" si="1"/>
        <v>0.33539402235552523</v>
      </c>
    </row>
    <row r="20" spans="10:11" x14ac:dyDescent="0.3">
      <c r="J20" t="str">
        <f t="shared" si="0"/>
        <v/>
      </c>
      <c r="K20" s="4" t="str">
        <f t="shared" si="1"/>
        <v/>
      </c>
    </row>
    <row r="21" spans="10:11" x14ac:dyDescent="0.3">
      <c r="J21" t="str">
        <f t="shared" si="0"/>
        <v/>
      </c>
      <c r="K21" s="4" t="str">
        <f t="shared" si="1"/>
        <v/>
      </c>
    </row>
    <row r="22" spans="10:11" x14ac:dyDescent="0.3">
      <c r="J22" t="str">
        <f t="shared" si="0"/>
        <v/>
      </c>
      <c r="K22" s="4" t="str">
        <f t="shared" si="1"/>
        <v/>
      </c>
    </row>
    <row r="23" spans="10:11" x14ac:dyDescent="0.3">
      <c r="J23" t="str">
        <f t="shared" si="0"/>
        <v/>
      </c>
      <c r="K23" s="4" t="str">
        <f t="shared" si="1"/>
        <v/>
      </c>
    </row>
    <row r="24" spans="10:11" x14ac:dyDescent="0.3">
      <c r="J24" t="str">
        <f t="shared" si="0"/>
        <v/>
      </c>
      <c r="K24" s="4" t="str">
        <f t="shared" si="1"/>
        <v/>
      </c>
    </row>
    <row r="25" spans="10:11" x14ac:dyDescent="0.3">
      <c r="J25" t="str">
        <f t="shared" si="0"/>
        <v/>
      </c>
      <c r="K25" s="4">
        <f t="shared" ref="K18:K25" si="2">F10</f>
        <v>0</v>
      </c>
    </row>
    <row r="26" spans="10:11" x14ac:dyDescent="0.3">
      <c r="J26" t="str">
        <f t="shared" si="0"/>
        <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CA97A-DE19-4727-A213-1B8B36D626DF}">
  <dimension ref="A1"/>
  <sheetViews>
    <sheetView tabSelected="1" zoomScaleNormal="85" workbookViewId="0">
      <selection activeCell="W10" sqref="W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CB7241-D024-46B7-906C-4B99ACE13F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 data</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Chandni K</cp:lastModifiedBy>
  <dcterms:created xsi:type="dcterms:W3CDTF">2026-06-20T13:51:54Z</dcterms:created>
  <dcterms:modified xsi:type="dcterms:W3CDTF">2026-06-21T16:35:52Z</dcterms:modified>
</cp:coreProperties>
</file>